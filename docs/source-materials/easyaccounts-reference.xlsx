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9"/>
  <workbookPr/>
  <mc:AlternateContent xmlns:mc="http://schemas.openxmlformats.org/markup-compatibility/2006">
    <mc:Choice Requires="x15">
      <x15ac:absPath xmlns:x15ac="http://schemas.microsoft.com/office/spreadsheetml/2010/11/ac" url="/Users/nelsonperez/Desktop/"/>
    </mc:Choice>
  </mc:AlternateContent>
  <xr:revisionPtr revIDLastSave="0" documentId="8_{7AFCA98E-FCD3-BF44-9691-94BE9AA29029}" xr6:coauthVersionLast="47" xr6:coauthVersionMax="47" xr10:uidLastSave="{00000000-0000-0000-0000-000000000000}"/>
  <bookViews>
    <workbookView xWindow="760" yWindow="500" windowWidth="30400" windowHeight="20040" xr2:uid="{00000000-000D-0000-FFFF-FFFF00000000}"/>
  </bookViews>
  <sheets>
    <sheet name="Transactions" sheetId="1" r:id="rId1"/>
    <sheet name="FInancial Stat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" l="1"/>
  <c r="B43" i="2" l="1"/>
  <c r="M53" i="1"/>
  <c r="L53" i="1"/>
  <c r="K53" i="1"/>
  <c r="J53" i="1"/>
  <c r="I53" i="1"/>
  <c r="H53" i="1"/>
  <c r="G53" i="1"/>
  <c r="F53" i="1"/>
  <c r="E53" i="1"/>
  <c r="D53" i="1"/>
  <c r="D58" i="1" s="1"/>
  <c r="C53" i="1"/>
  <c r="B53" i="1"/>
  <c r="B58" i="1" s="1"/>
  <c r="M64" i="2" l="1"/>
  <c r="L64" i="2"/>
  <c r="K64" i="2"/>
  <c r="J64" i="2"/>
  <c r="I64" i="2"/>
  <c r="H64" i="2"/>
  <c r="G64" i="2"/>
  <c r="F64" i="2"/>
  <c r="E64" i="2"/>
  <c r="D64" i="2"/>
  <c r="C64" i="2"/>
  <c r="B64" i="2"/>
  <c r="N64" i="2" l="1"/>
  <c r="N10" i="1" l="1"/>
  <c r="N35" i="1"/>
  <c r="N34" i="1"/>
  <c r="N31" i="1"/>
  <c r="N27" i="1"/>
  <c r="N25" i="1"/>
  <c r="N24" i="1"/>
  <c r="N23" i="1"/>
  <c r="N22" i="1"/>
  <c r="N21" i="1"/>
  <c r="N20" i="1"/>
  <c r="N19" i="1"/>
  <c r="N18" i="1"/>
  <c r="N17" i="1"/>
  <c r="N16" i="1"/>
  <c r="N15" i="1"/>
  <c r="N6" i="1"/>
  <c r="N5" i="1"/>
  <c r="M71" i="1"/>
  <c r="L71" i="1"/>
  <c r="K71" i="1"/>
  <c r="J71" i="1"/>
  <c r="I71" i="1"/>
  <c r="H71" i="1"/>
  <c r="G71" i="1"/>
  <c r="F71" i="1"/>
  <c r="E71" i="1"/>
  <c r="D71" i="1"/>
  <c r="C71" i="1"/>
  <c r="N70" i="1"/>
  <c r="N69" i="1"/>
  <c r="N68" i="1"/>
  <c r="N67" i="1"/>
  <c r="N66" i="1"/>
  <c r="N65" i="1"/>
  <c r="C62" i="1"/>
  <c r="C18" i="2" s="1"/>
  <c r="M62" i="1"/>
  <c r="M18" i="2" s="1"/>
  <c r="L62" i="1"/>
  <c r="K62" i="1"/>
  <c r="K18" i="2" s="1"/>
  <c r="J62" i="1"/>
  <c r="J18" i="2" s="1"/>
  <c r="I62" i="1"/>
  <c r="I18" i="2" s="1"/>
  <c r="H62" i="1"/>
  <c r="G62" i="1"/>
  <c r="G18" i="2" s="1"/>
  <c r="F62" i="1"/>
  <c r="F18" i="2" s="1"/>
  <c r="E62" i="1"/>
  <c r="E18" i="2" s="1"/>
  <c r="D62" i="1"/>
  <c r="D18" i="2" s="1"/>
  <c r="N61" i="1"/>
  <c r="N60" i="1"/>
  <c r="N57" i="1"/>
  <c r="N56" i="1"/>
  <c r="N54" i="1"/>
  <c r="N52" i="1"/>
  <c r="N51" i="1"/>
  <c r="L56" i="2"/>
  <c r="K56" i="2"/>
  <c r="J56" i="2"/>
  <c r="H56" i="2"/>
  <c r="G56" i="2"/>
  <c r="F56" i="2"/>
  <c r="D56" i="2"/>
  <c r="C56" i="2"/>
  <c r="N49" i="1"/>
  <c r="N46" i="1"/>
  <c r="N42" i="1"/>
  <c r="N38" i="1"/>
  <c r="M36" i="1"/>
  <c r="L36" i="1"/>
  <c r="K36" i="1"/>
  <c r="J36" i="1"/>
  <c r="I36" i="1"/>
  <c r="H36" i="1"/>
  <c r="G36" i="1"/>
  <c r="F36" i="1"/>
  <c r="E36" i="1"/>
  <c r="D36" i="1"/>
  <c r="C36" i="1"/>
  <c r="M28" i="1"/>
  <c r="M33" i="2" s="1"/>
  <c r="L28" i="1"/>
  <c r="L33" i="2" s="1"/>
  <c r="K28" i="1"/>
  <c r="J28" i="1"/>
  <c r="J33" i="2" s="1"/>
  <c r="I28" i="1"/>
  <c r="I33" i="2" s="1"/>
  <c r="H28" i="1"/>
  <c r="H33" i="2" s="1"/>
  <c r="G28" i="1"/>
  <c r="F28" i="1"/>
  <c r="E28" i="1"/>
  <c r="E33" i="2" s="1"/>
  <c r="D28" i="1"/>
  <c r="C28" i="1"/>
  <c r="C33" i="2" s="1"/>
  <c r="M7" i="1"/>
  <c r="M77" i="2" s="1"/>
  <c r="L7" i="1"/>
  <c r="L77" i="2" s="1"/>
  <c r="K7" i="1"/>
  <c r="K77" i="2" s="1"/>
  <c r="J7" i="1"/>
  <c r="I7" i="1"/>
  <c r="H7" i="1"/>
  <c r="H77" i="2" s="1"/>
  <c r="G7" i="1"/>
  <c r="G77" i="2" s="1"/>
  <c r="F7" i="1"/>
  <c r="E7" i="1"/>
  <c r="E77" i="2" s="1"/>
  <c r="D7" i="1"/>
  <c r="D77" i="2" s="1"/>
  <c r="C7" i="1"/>
  <c r="C77" i="2" s="1"/>
  <c r="M63" i="2"/>
  <c r="M65" i="2" s="1"/>
  <c r="L63" i="2"/>
  <c r="L65" i="2" s="1"/>
  <c r="K63" i="2"/>
  <c r="K65" i="2" s="1"/>
  <c r="J63" i="2"/>
  <c r="J65" i="2" s="1"/>
  <c r="I63" i="2"/>
  <c r="I65" i="2" s="1"/>
  <c r="H63" i="2"/>
  <c r="H65" i="2" s="1"/>
  <c r="G63" i="2"/>
  <c r="G65" i="2" s="1"/>
  <c r="F63" i="2"/>
  <c r="F65" i="2" s="1"/>
  <c r="E63" i="2"/>
  <c r="E65" i="2" s="1"/>
  <c r="D63" i="2"/>
  <c r="D65" i="2" s="1"/>
  <c r="C63" i="2"/>
  <c r="C65" i="2" s="1"/>
  <c r="M59" i="2"/>
  <c r="L59" i="2"/>
  <c r="K59" i="2"/>
  <c r="J59" i="2"/>
  <c r="I59" i="2"/>
  <c r="H59" i="2"/>
  <c r="G59" i="2"/>
  <c r="F59" i="2"/>
  <c r="E59" i="2"/>
  <c r="D59" i="2"/>
  <c r="C59" i="2"/>
  <c r="M57" i="2"/>
  <c r="L57" i="2"/>
  <c r="K57" i="2"/>
  <c r="J57" i="2"/>
  <c r="I57" i="2"/>
  <c r="H57" i="2"/>
  <c r="G57" i="2"/>
  <c r="F57" i="2"/>
  <c r="E57" i="2"/>
  <c r="D57" i="2"/>
  <c r="C57" i="2"/>
  <c r="M49" i="2"/>
  <c r="L49" i="2"/>
  <c r="K49" i="2"/>
  <c r="J49" i="2"/>
  <c r="I49" i="2"/>
  <c r="H49" i="2"/>
  <c r="G49" i="2"/>
  <c r="F49" i="2"/>
  <c r="E49" i="2"/>
  <c r="D49" i="2"/>
  <c r="C49" i="2"/>
  <c r="M48" i="2"/>
  <c r="L48" i="2"/>
  <c r="K48" i="2"/>
  <c r="J48" i="2"/>
  <c r="I48" i="2"/>
  <c r="H48" i="2"/>
  <c r="G48" i="2"/>
  <c r="F48" i="2"/>
  <c r="E48" i="2"/>
  <c r="D48" i="2"/>
  <c r="C48" i="2"/>
  <c r="M47" i="2"/>
  <c r="L47" i="2"/>
  <c r="K47" i="2"/>
  <c r="J47" i="2"/>
  <c r="I47" i="2"/>
  <c r="H47" i="2"/>
  <c r="G47" i="2"/>
  <c r="F47" i="2"/>
  <c r="E47" i="2"/>
  <c r="D47" i="2"/>
  <c r="C47" i="2"/>
  <c r="F33" i="2"/>
  <c r="G28" i="2"/>
  <c r="L18" i="2"/>
  <c r="H18" i="2"/>
  <c r="M13" i="2"/>
  <c r="L13" i="2"/>
  <c r="K13" i="2"/>
  <c r="J13" i="2"/>
  <c r="I13" i="2"/>
  <c r="H13" i="2"/>
  <c r="G13" i="2"/>
  <c r="F13" i="2"/>
  <c r="E13" i="2"/>
  <c r="D13" i="2"/>
  <c r="C13" i="2"/>
  <c r="L5" i="2"/>
  <c r="K5" i="2"/>
  <c r="C5" i="2"/>
  <c r="G33" i="2" l="1"/>
  <c r="F41" i="1"/>
  <c r="F12" i="2" s="1"/>
  <c r="F14" i="2" s="1"/>
  <c r="F77" i="2"/>
  <c r="J41" i="1"/>
  <c r="J77" i="2"/>
  <c r="I41" i="1"/>
  <c r="I43" i="1" s="1"/>
  <c r="I42" i="2" s="1"/>
  <c r="I77" i="2"/>
  <c r="J5" i="2"/>
  <c r="K33" i="2"/>
  <c r="J28" i="2"/>
  <c r="F28" i="2"/>
  <c r="F5" i="2"/>
  <c r="C28" i="2"/>
  <c r="K28" i="2"/>
  <c r="G5" i="2"/>
  <c r="E56" i="2"/>
  <c r="I56" i="2"/>
  <c r="M56" i="2"/>
  <c r="C50" i="2"/>
  <c r="G50" i="2"/>
  <c r="K50" i="2"/>
  <c r="J12" i="2"/>
  <c r="J14" i="2" s="1"/>
  <c r="J43" i="1"/>
  <c r="J42" i="2" s="1"/>
  <c r="L28" i="2"/>
  <c r="D50" i="2"/>
  <c r="L50" i="2"/>
  <c r="M41" i="1"/>
  <c r="M43" i="1" s="1"/>
  <c r="M42" i="2" s="1"/>
  <c r="H5" i="2"/>
  <c r="H28" i="2"/>
  <c r="D33" i="2"/>
  <c r="E50" i="2"/>
  <c r="I50" i="2"/>
  <c r="M50" i="2"/>
  <c r="H50" i="2"/>
  <c r="E41" i="1"/>
  <c r="E43" i="1" s="1"/>
  <c r="E73" i="1" s="1"/>
  <c r="D5" i="2"/>
  <c r="D28" i="2"/>
  <c r="F50" i="2"/>
  <c r="J50" i="2"/>
  <c r="C41" i="1"/>
  <c r="G41" i="1"/>
  <c r="K41" i="1"/>
  <c r="D41" i="1"/>
  <c r="H41" i="1"/>
  <c r="L41" i="1"/>
  <c r="E28" i="2"/>
  <c r="M28" i="2"/>
  <c r="E5" i="2"/>
  <c r="I5" i="2"/>
  <c r="M5" i="2"/>
  <c r="M12" i="2"/>
  <c r="M14" i="2" s="1"/>
  <c r="I28" i="2"/>
  <c r="I11" i="1" l="1"/>
  <c r="I12" i="1" s="1"/>
  <c r="I12" i="2"/>
  <c r="I14" i="2" s="1"/>
  <c r="I58" i="2"/>
  <c r="I7" i="2"/>
  <c r="I8" i="2" s="1"/>
  <c r="I25" i="2" s="1"/>
  <c r="I41" i="2" s="1"/>
  <c r="I44" i="2" s="1"/>
  <c r="I78" i="2"/>
  <c r="F43" i="1"/>
  <c r="F42" i="2" s="1"/>
  <c r="I73" i="1"/>
  <c r="J11" i="1"/>
  <c r="J12" i="1" s="1"/>
  <c r="I22" i="2"/>
  <c r="M11" i="1"/>
  <c r="M12" i="1" s="1"/>
  <c r="M7" i="2" s="1"/>
  <c r="M8" i="2" s="1"/>
  <c r="I58" i="1"/>
  <c r="I17" i="2" s="1"/>
  <c r="I19" i="2" s="1"/>
  <c r="I20" i="2" s="1"/>
  <c r="J78" i="2"/>
  <c r="M73" i="1"/>
  <c r="I60" i="2"/>
  <c r="I67" i="2" s="1"/>
  <c r="J73" i="1"/>
  <c r="D43" i="1"/>
  <c r="D73" i="1" s="1"/>
  <c r="D12" i="2"/>
  <c r="D14" i="2" s="1"/>
  <c r="K12" i="2"/>
  <c r="K14" i="2" s="1"/>
  <c r="K43" i="1"/>
  <c r="K73" i="1" s="1"/>
  <c r="E11" i="1"/>
  <c r="E12" i="1" s="1"/>
  <c r="E7" i="2" s="1"/>
  <c r="E8" i="2" s="1"/>
  <c r="E42" i="2"/>
  <c r="E12" i="2"/>
  <c r="E14" i="2" s="1"/>
  <c r="G43" i="1"/>
  <c r="G73" i="1" s="1"/>
  <c r="G12" i="2"/>
  <c r="G14" i="2" s="1"/>
  <c r="L43" i="1"/>
  <c r="L73" i="1" s="1"/>
  <c r="L12" i="2"/>
  <c r="L14" i="2" s="1"/>
  <c r="C12" i="2"/>
  <c r="C14" i="2" s="1"/>
  <c r="C43" i="1"/>
  <c r="C73" i="1" s="1"/>
  <c r="E78" i="2"/>
  <c r="H43" i="1"/>
  <c r="H73" i="1" s="1"/>
  <c r="H12" i="2"/>
  <c r="H14" i="2" s="1"/>
  <c r="I30" i="2"/>
  <c r="I31" i="2" s="1"/>
  <c r="I34" i="2" s="1"/>
  <c r="I37" i="2" s="1"/>
  <c r="M78" i="2"/>
  <c r="F78" i="2" l="1"/>
  <c r="F11" i="1"/>
  <c r="F12" i="1" s="1"/>
  <c r="F7" i="2" s="1"/>
  <c r="F8" i="2" s="1"/>
  <c r="F73" i="1"/>
  <c r="J7" i="2"/>
  <c r="J8" i="2" s="1"/>
  <c r="J25" i="2" s="1"/>
  <c r="J41" i="2" s="1"/>
  <c r="J44" i="2" s="1"/>
  <c r="J52" i="2" s="1"/>
  <c r="J30" i="2"/>
  <c r="J31" i="2" s="1"/>
  <c r="J34" i="2" s="1"/>
  <c r="J37" i="2" s="1"/>
  <c r="J71" i="2" s="1"/>
  <c r="I93" i="2"/>
  <c r="J22" i="2"/>
  <c r="M30" i="2"/>
  <c r="M31" i="2" s="1"/>
  <c r="M34" i="2" s="1"/>
  <c r="M37" i="2" s="1"/>
  <c r="M94" i="2" s="1"/>
  <c r="M22" i="2"/>
  <c r="M25" i="2"/>
  <c r="M41" i="2" s="1"/>
  <c r="M44" i="2" s="1"/>
  <c r="M52" i="2" s="1"/>
  <c r="I52" i="2"/>
  <c r="I85" i="2" s="1"/>
  <c r="F58" i="2"/>
  <c r="F60" i="2" s="1"/>
  <c r="F67" i="2" s="1"/>
  <c r="F58" i="1"/>
  <c r="F17" i="2" s="1"/>
  <c r="F19" i="2" s="1"/>
  <c r="F20" i="2" s="1"/>
  <c r="F25" i="2"/>
  <c r="F41" i="2" s="1"/>
  <c r="F44" i="2" s="1"/>
  <c r="E58" i="2"/>
  <c r="E60" i="2" s="1"/>
  <c r="E67" i="2" s="1"/>
  <c r="E58" i="1"/>
  <c r="E17" i="2" s="1"/>
  <c r="E19" i="2" s="1"/>
  <c r="E20" i="2" s="1"/>
  <c r="I81" i="2"/>
  <c r="M58" i="2"/>
  <c r="M60" i="2" s="1"/>
  <c r="I82" i="2"/>
  <c r="E25" i="2"/>
  <c r="E41" i="2" s="1"/>
  <c r="E44" i="2" s="1"/>
  <c r="J58" i="2"/>
  <c r="J60" i="2" s="1"/>
  <c r="J58" i="1"/>
  <c r="J17" i="2" s="1"/>
  <c r="J19" i="2" s="1"/>
  <c r="J20" i="2" s="1"/>
  <c r="J89" i="2"/>
  <c r="I94" i="2"/>
  <c r="I71" i="2"/>
  <c r="I89" i="2"/>
  <c r="L42" i="2"/>
  <c r="L11" i="1"/>
  <c r="L12" i="1" s="1"/>
  <c r="L7" i="2" s="1"/>
  <c r="L8" i="2" s="1"/>
  <c r="L78" i="2"/>
  <c r="H42" i="2"/>
  <c r="H11" i="1"/>
  <c r="H12" i="1" s="1"/>
  <c r="H7" i="2" s="1"/>
  <c r="H8" i="2" s="1"/>
  <c r="H78" i="2"/>
  <c r="C42" i="2"/>
  <c r="C78" i="2"/>
  <c r="C11" i="1"/>
  <c r="C12" i="1" s="1"/>
  <c r="C7" i="2" s="1"/>
  <c r="C8" i="2" s="1"/>
  <c r="F22" i="2"/>
  <c r="G42" i="2"/>
  <c r="G11" i="1"/>
  <c r="G12" i="1" s="1"/>
  <c r="G78" i="2"/>
  <c r="F30" i="2"/>
  <c r="F31" i="2" s="1"/>
  <c r="F34" i="2" s="1"/>
  <c r="F37" i="2" s="1"/>
  <c r="E22" i="2"/>
  <c r="E30" i="2"/>
  <c r="E31" i="2" s="1"/>
  <c r="E34" i="2" s="1"/>
  <c r="E37" i="2" s="1"/>
  <c r="D42" i="2"/>
  <c r="D11" i="1"/>
  <c r="D12" i="1" s="1"/>
  <c r="D7" i="2" s="1"/>
  <c r="D8" i="2" s="1"/>
  <c r="D78" i="2"/>
  <c r="K11" i="1"/>
  <c r="K12" i="1" s="1"/>
  <c r="K7" i="2" s="1"/>
  <c r="K8" i="2" s="1"/>
  <c r="K42" i="2"/>
  <c r="K78" i="2"/>
  <c r="J94" i="2" l="1"/>
  <c r="G7" i="2"/>
  <c r="G8" i="2" s="1"/>
  <c r="G25" i="2" s="1"/>
  <c r="G41" i="2" s="1"/>
  <c r="G44" i="2" s="1"/>
  <c r="I70" i="2"/>
  <c r="I72" i="2" s="1"/>
  <c r="M58" i="1"/>
  <c r="M17" i="2" s="1"/>
  <c r="M19" i="2" s="1"/>
  <c r="M20" i="2" s="1"/>
  <c r="M71" i="2"/>
  <c r="M89" i="2"/>
  <c r="L58" i="2"/>
  <c r="L60" i="2" s="1"/>
  <c r="L67" i="2" s="1"/>
  <c r="L58" i="1"/>
  <c r="L17" i="2" s="1"/>
  <c r="L19" i="2" s="1"/>
  <c r="L20" i="2" s="1"/>
  <c r="M67" i="2"/>
  <c r="M81" i="2"/>
  <c r="M82" i="2"/>
  <c r="M93" i="2"/>
  <c r="G58" i="2"/>
  <c r="G60" i="2" s="1"/>
  <c r="G67" i="2" s="1"/>
  <c r="G58" i="1"/>
  <c r="G17" i="2" s="1"/>
  <c r="G19" i="2" s="1"/>
  <c r="G20" i="2" s="1"/>
  <c r="C58" i="2"/>
  <c r="C60" i="2" s="1"/>
  <c r="C67" i="2" s="1"/>
  <c r="C58" i="1"/>
  <c r="C17" i="2" s="1"/>
  <c r="C19" i="2" s="1"/>
  <c r="C20" i="2" s="1"/>
  <c r="C25" i="2"/>
  <c r="C41" i="2" s="1"/>
  <c r="H58" i="2"/>
  <c r="H60" i="2" s="1"/>
  <c r="H67" i="2" s="1"/>
  <c r="H58" i="1"/>
  <c r="H17" i="2" s="1"/>
  <c r="H19" i="2" s="1"/>
  <c r="H20" i="2" s="1"/>
  <c r="J67" i="2"/>
  <c r="J93" i="2"/>
  <c r="J82" i="2"/>
  <c r="J81" i="2"/>
  <c r="D17" i="2"/>
  <c r="D19" i="2" s="1"/>
  <c r="D20" i="2" s="1"/>
  <c r="D58" i="2"/>
  <c r="D60" i="2" s="1"/>
  <c r="D67" i="2" s="1"/>
  <c r="D25" i="2"/>
  <c r="D41" i="2" s="1"/>
  <c r="D44" i="2" s="1"/>
  <c r="K58" i="2"/>
  <c r="K60" i="2" s="1"/>
  <c r="K67" i="2" s="1"/>
  <c r="K58" i="1"/>
  <c r="K17" i="2" s="1"/>
  <c r="K19" i="2" s="1"/>
  <c r="K20" i="2" s="1"/>
  <c r="K25" i="2"/>
  <c r="K41" i="2" s="1"/>
  <c r="K44" i="2" s="1"/>
  <c r="L25" i="2"/>
  <c r="L41" i="2" s="1"/>
  <c r="L44" i="2" s="1"/>
  <c r="H25" i="2"/>
  <c r="H41" i="2" s="1"/>
  <c r="H44" i="2" s="1"/>
  <c r="C44" i="2"/>
  <c r="C30" i="2"/>
  <c r="C31" i="2" s="1"/>
  <c r="C34" i="2" s="1"/>
  <c r="C37" i="2" s="1"/>
  <c r="C22" i="2"/>
  <c r="E81" i="2"/>
  <c r="E52" i="2"/>
  <c r="E93" i="2"/>
  <c r="E82" i="2"/>
  <c r="F93" i="2"/>
  <c r="F82" i="2"/>
  <c r="F81" i="2"/>
  <c r="F52" i="2"/>
  <c r="D30" i="2"/>
  <c r="D31" i="2" s="1"/>
  <c r="D34" i="2" s="1"/>
  <c r="D37" i="2" s="1"/>
  <c r="D22" i="2"/>
  <c r="G22" i="2"/>
  <c r="G30" i="2"/>
  <c r="G31" i="2" s="1"/>
  <c r="G34" i="2" s="1"/>
  <c r="G37" i="2" s="1"/>
  <c r="H30" i="2"/>
  <c r="H31" i="2" s="1"/>
  <c r="H34" i="2" s="1"/>
  <c r="H37" i="2" s="1"/>
  <c r="H22" i="2"/>
  <c r="K22" i="2"/>
  <c r="K30" i="2"/>
  <c r="K31" i="2" s="1"/>
  <c r="K34" i="2" s="1"/>
  <c r="K37" i="2" s="1"/>
  <c r="F89" i="2"/>
  <c r="F94" i="2"/>
  <c r="F71" i="2"/>
  <c r="E71" i="2"/>
  <c r="E94" i="2"/>
  <c r="E89" i="2"/>
  <c r="L22" i="2"/>
  <c r="L30" i="2"/>
  <c r="L31" i="2" s="1"/>
  <c r="L34" i="2" s="1"/>
  <c r="L37" i="2" s="1"/>
  <c r="I86" i="2" l="1"/>
  <c r="I73" i="2"/>
  <c r="I90" i="2"/>
  <c r="M70" i="2"/>
  <c r="M85" i="2"/>
  <c r="J70" i="2"/>
  <c r="J85" i="2"/>
  <c r="H52" i="2"/>
  <c r="H93" i="2"/>
  <c r="H82" i="2"/>
  <c r="H81" i="2"/>
  <c r="G93" i="2"/>
  <c r="G52" i="2"/>
  <c r="G82" i="2"/>
  <c r="G81" i="2"/>
  <c r="L93" i="2"/>
  <c r="L82" i="2"/>
  <c r="L81" i="2"/>
  <c r="L52" i="2"/>
  <c r="D52" i="2"/>
  <c r="D81" i="2"/>
  <c r="D93" i="2"/>
  <c r="D82" i="2"/>
  <c r="K93" i="2"/>
  <c r="K82" i="2"/>
  <c r="K81" i="2"/>
  <c r="K52" i="2"/>
  <c r="D94" i="2"/>
  <c r="D71" i="2"/>
  <c r="D89" i="2"/>
  <c r="K71" i="2"/>
  <c r="K94" i="2"/>
  <c r="K89" i="2"/>
  <c r="F85" i="2"/>
  <c r="F70" i="2"/>
  <c r="C89" i="2"/>
  <c r="C71" i="2"/>
  <c r="C94" i="2"/>
  <c r="H71" i="2"/>
  <c r="H94" i="2"/>
  <c r="H89" i="2"/>
  <c r="C93" i="2"/>
  <c r="C52" i="2"/>
  <c r="C81" i="2"/>
  <c r="C82" i="2"/>
  <c r="L71" i="2"/>
  <c r="L94" i="2"/>
  <c r="L89" i="2"/>
  <c r="G71" i="2"/>
  <c r="G94" i="2"/>
  <c r="G89" i="2"/>
  <c r="E85" i="2"/>
  <c r="E70" i="2"/>
  <c r="J72" i="2" l="1"/>
  <c r="J90" i="2"/>
  <c r="M90" i="2"/>
  <c r="M72" i="2"/>
  <c r="C85" i="2"/>
  <c r="C70" i="2"/>
  <c r="K85" i="2"/>
  <c r="K70" i="2"/>
  <c r="L85" i="2"/>
  <c r="L70" i="2"/>
  <c r="G85" i="2"/>
  <c r="G70" i="2"/>
  <c r="E90" i="2"/>
  <c r="E72" i="2"/>
  <c r="F72" i="2"/>
  <c r="F90" i="2"/>
  <c r="D85" i="2"/>
  <c r="D70" i="2"/>
  <c r="H85" i="2"/>
  <c r="H70" i="2"/>
  <c r="M73" i="2" l="1"/>
  <c r="M86" i="2"/>
  <c r="J86" i="2"/>
  <c r="J73" i="2"/>
  <c r="H90" i="2"/>
  <c r="H72" i="2"/>
  <c r="G90" i="2"/>
  <c r="G72" i="2"/>
  <c r="K72" i="2"/>
  <c r="K90" i="2"/>
  <c r="F73" i="2"/>
  <c r="F86" i="2"/>
  <c r="D90" i="2"/>
  <c r="D72" i="2"/>
  <c r="E73" i="2"/>
  <c r="E86" i="2"/>
  <c r="L90" i="2"/>
  <c r="L72" i="2"/>
  <c r="C72" i="2"/>
  <c r="C90" i="2"/>
  <c r="C86" i="2" l="1"/>
  <c r="C73" i="2"/>
  <c r="L73" i="2"/>
  <c r="L86" i="2"/>
  <c r="D86" i="2"/>
  <c r="D73" i="2"/>
  <c r="H73" i="2"/>
  <c r="H86" i="2"/>
  <c r="G73" i="2"/>
  <c r="G86" i="2"/>
  <c r="K73" i="2"/>
  <c r="K86" i="2"/>
  <c r="B63" i="2" l="1"/>
  <c r="B65" i="2" s="1"/>
  <c r="B59" i="2"/>
  <c r="N59" i="2" s="1"/>
  <c r="B57" i="2"/>
  <c r="N57" i="2" s="1"/>
  <c r="B49" i="2"/>
  <c r="N49" i="2" s="1"/>
  <c r="B48" i="2"/>
  <c r="N48" i="2" s="1"/>
  <c r="B47" i="2"/>
  <c r="N47" i="2" s="1"/>
  <c r="N63" i="2" l="1"/>
  <c r="B50" i="2"/>
  <c r="N50" i="2" s="1"/>
  <c r="B71" i="1"/>
  <c r="B62" i="1"/>
  <c r="B36" i="1"/>
  <c r="B28" i="1"/>
  <c r="B7" i="1"/>
  <c r="B5" i="2" s="1"/>
  <c r="N71" i="1" l="1"/>
  <c r="B13" i="2"/>
  <c r="N13" i="2" s="1"/>
  <c r="N65" i="2"/>
  <c r="B18" i="2"/>
  <c r="N18" i="2" s="1"/>
  <c r="N62" i="1"/>
  <c r="N36" i="1"/>
  <c r="N7" i="1"/>
  <c r="N77" i="2" s="1"/>
  <c r="B41" i="1"/>
  <c r="B12" i="2" s="1"/>
  <c r="N5" i="2"/>
  <c r="B28" i="2"/>
  <c r="N28" i="2" s="1"/>
  <c r="B77" i="2"/>
  <c r="N50" i="1"/>
  <c r="N28" i="1"/>
  <c r="B33" i="2"/>
  <c r="N33" i="2" s="1"/>
  <c r="N36" i="2"/>
  <c r="B43" i="1" l="1"/>
  <c r="B73" i="1" s="1"/>
  <c r="N41" i="1"/>
  <c r="N53" i="1"/>
  <c r="B56" i="2"/>
  <c r="N56" i="2" s="1"/>
  <c r="B78" i="2" l="1"/>
  <c r="N12" i="2"/>
  <c r="B14" i="2"/>
  <c r="N14" i="2" s="1"/>
  <c r="N43" i="1"/>
  <c r="N78" i="2" s="1"/>
  <c r="B42" i="2"/>
  <c r="N73" i="1"/>
  <c r="N11" i="1" l="1"/>
  <c r="B12" i="1"/>
  <c r="B7" i="2" s="1"/>
  <c r="N42" i="2"/>
  <c r="N7" i="2" l="1"/>
  <c r="B8" i="2"/>
  <c r="N8" i="2" s="1"/>
  <c r="N12" i="1"/>
  <c r="N22" i="2" s="1"/>
  <c r="B22" i="2"/>
  <c r="B30" i="2"/>
  <c r="N43" i="2" l="1"/>
  <c r="B58" i="2"/>
  <c r="N55" i="1"/>
  <c r="B25" i="2"/>
  <c r="N30" i="2"/>
  <c r="B31" i="2"/>
  <c r="N25" i="2" l="1"/>
  <c r="B41" i="2"/>
  <c r="B34" i="2"/>
  <c r="N31" i="2"/>
  <c r="N58" i="2"/>
  <c r="B60" i="2"/>
  <c r="N58" i="1"/>
  <c r="B17" i="2"/>
  <c r="N41" i="2" l="1"/>
  <c r="B44" i="2"/>
  <c r="B67" i="2"/>
  <c r="N60" i="2"/>
  <c r="B19" i="2"/>
  <c r="N19" i="2" s="1"/>
  <c r="N17" i="2"/>
  <c r="B37" i="2"/>
  <c r="N34" i="2"/>
  <c r="B52" i="2" l="1"/>
  <c r="N52" i="2" s="1"/>
  <c r="N44" i="2"/>
  <c r="N82" i="2" s="1"/>
  <c r="B82" i="2"/>
  <c r="B93" i="2"/>
  <c r="N93" i="2" s="1"/>
  <c r="B81" i="2"/>
  <c r="B70" i="2"/>
  <c r="B90" i="2" s="1"/>
  <c r="N67" i="2"/>
  <c r="N85" i="2" s="1"/>
  <c r="B20" i="2"/>
  <c r="N20" i="2" s="1"/>
  <c r="N37" i="2"/>
  <c r="B71" i="2"/>
  <c r="B94" i="2"/>
  <c r="B85" i="2" l="1"/>
  <c r="N81" i="2"/>
  <c r="N71" i="2"/>
  <c r="B89" i="2"/>
  <c r="N89" i="2"/>
  <c r="N94" i="2"/>
  <c r="N70" i="2"/>
  <c r="N90" i="2" s="1"/>
  <c r="B72" i="2"/>
  <c r="B86" i="2" s="1"/>
  <c r="N72" i="2" l="1"/>
  <c r="N86" i="2" s="1"/>
  <c r="B73" i="2"/>
  <c r="N73" i="2" s="1"/>
</calcChain>
</file>

<file path=xl/sharedStrings.xml><?xml version="1.0" encoding="utf-8"?>
<sst xmlns="http://schemas.openxmlformats.org/spreadsheetml/2006/main" count="163" uniqueCount="139">
  <si>
    <t>SALES</t>
  </si>
  <si>
    <t>Sales of the month</t>
  </si>
  <si>
    <t>Cash sales</t>
  </si>
  <si>
    <t>Credit sales</t>
  </si>
  <si>
    <t>PURCHASES</t>
  </si>
  <si>
    <t>Purchase of the month</t>
  </si>
  <si>
    <t>Cash purchases</t>
  </si>
  <si>
    <t>Credit purchases</t>
  </si>
  <si>
    <t>OPERATING EXPENSES</t>
  </si>
  <si>
    <t>Salaries</t>
  </si>
  <si>
    <t>Travel costs</t>
  </si>
  <si>
    <t>Rent</t>
  </si>
  <si>
    <t>Insurance</t>
  </si>
  <si>
    <t>Repairs and maintenance</t>
  </si>
  <si>
    <t>Office supplies</t>
  </si>
  <si>
    <t>Advertising and marketing</t>
  </si>
  <si>
    <t>Electricity</t>
  </si>
  <si>
    <t>Water</t>
  </si>
  <si>
    <t>Phone and Internet</t>
  </si>
  <si>
    <t>Fuel</t>
  </si>
  <si>
    <t>Other Operating Expenses</t>
  </si>
  <si>
    <t>Total Operating Expenses</t>
  </si>
  <si>
    <t>FINANCIAL EXPENSES</t>
  </si>
  <si>
    <t>Interest Paid</t>
  </si>
  <si>
    <t>CASH AND BANKS</t>
  </si>
  <si>
    <t>How much cash do you manage monthly?</t>
  </si>
  <si>
    <t>Amount in bank current accounts</t>
  </si>
  <si>
    <t>Total Cash</t>
  </si>
  <si>
    <t>Amounts in deposit accounts &gt; 1 year</t>
  </si>
  <si>
    <t>ACCOUNTS RECIEVABLE </t>
  </si>
  <si>
    <t>Credit Sales from Customers</t>
  </si>
  <si>
    <t>Other Receivables </t>
  </si>
  <si>
    <t>Total Accounts Receivable </t>
  </si>
  <si>
    <t>INVENTORY </t>
  </si>
  <si>
    <t>Inventory of goods</t>
  </si>
  <si>
    <t>LIABILITIES </t>
  </si>
  <si>
    <t>Bank Loans &lt; 12 months</t>
  </si>
  <si>
    <t>With interest</t>
  </si>
  <si>
    <t>Interest free (e.g., loans from friends and family)</t>
  </si>
  <si>
    <t>Loans Payable &lt; 12 months</t>
  </si>
  <si>
    <t>Commissions due</t>
  </si>
  <si>
    <t>Payment to providers (credit purchases)</t>
  </si>
  <si>
    <t>Taxes and fees due</t>
  </si>
  <si>
    <t>Pension Funds due</t>
  </si>
  <si>
    <t>Total Accounts Payable</t>
  </si>
  <si>
    <t>Bank Loans &gt; 12 months</t>
  </si>
  <si>
    <t>Non-Bank Loans &gt; 12 months</t>
  </si>
  <si>
    <t>Total Loans &gt; 12 months</t>
  </si>
  <si>
    <t>FIXED ASSETS </t>
  </si>
  <si>
    <t>Furniture</t>
  </si>
  <si>
    <t>Machinery</t>
  </si>
  <si>
    <t>Equipment</t>
  </si>
  <si>
    <t>Vehicles </t>
  </si>
  <si>
    <t>Land</t>
  </si>
  <si>
    <t>Building</t>
  </si>
  <si>
    <t>Total Fixed Assets</t>
  </si>
  <si>
    <t>Income Statement - summary</t>
  </si>
  <si>
    <t>Expenses</t>
  </si>
  <si>
    <t>Net income</t>
  </si>
  <si>
    <t>Less</t>
  </si>
  <si>
    <t>Revenue</t>
  </si>
  <si>
    <t>Balance Sheet - summary</t>
  </si>
  <si>
    <t>Assets</t>
  </si>
  <si>
    <t>Current Assets</t>
  </si>
  <si>
    <t>Fixed Assets (non-current assets)</t>
  </si>
  <si>
    <t>Total Assets</t>
  </si>
  <si>
    <t>Liability and Equity</t>
  </si>
  <si>
    <t>Current Liability</t>
  </si>
  <si>
    <t>Long Term Liability (non-current liability)</t>
  </si>
  <si>
    <t>Equity</t>
  </si>
  <si>
    <t>Total Liability and Equity</t>
  </si>
  <si>
    <t>Break-even</t>
  </si>
  <si>
    <t>Cash flow</t>
  </si>
  <si>
    <t>Cash Flow</t>
  </si>
  <si>
    <t>Income Statement - detailed</t>
  </si>
  <si>
    <t>Net Income</t>
  </si>
  <si>
    <t>Sales</t>
  </si>
  <si>
    <t>Purchases</t>
  </si>
  <si>
    <t>Less:</t>
  </si>
  <si>
    <t>Gross Profit</t>
  </si>
  <si>
    <t>Operating expenses and Financial Expenses</t>
  </si>
  <si>
    <t>Profit before tax</t>
  </si>
  <si>
    <t>Tax Expenses</t>
  </si>
  <si>
    <t>Balance Sheet - detailed</t>
  </si>
  <si>
    <t>Accounts Receivable </t>
  </si>
  <si>
    <t>Inventory</t>
  </si>
  <si>
    <t>Total Current Assets</t>
  </si>
  <si>
    <t>A. Current Assets</t>
  </si>
  <si>
    <t>Furniture, Machinery and Equipment</t>
  </si>
  <si>
    <t>Land and Building</t>
  </si>
  <si>
    <t>B. Fixed Term Assets</t>
  </si>
  <si>
    <t>Liabilities and Equity</t>
  </si>
  <si>
    <t>Payments to providers</t>
  </si>
  <si>
    <t>Total Current Liability</t>
  </si>
  <si>
    <t>Loans Payable &gt; 12 months</t>
  </si>
  <si>
    <t>Total non-current liability</t>
  </si>
  <si>
    <t>D. Non-current Liability</t>
  </si>
  <si>
    <t>C. Current Liability</t>
  </si>
  <si>
    <t>Total Liability (C+D)</t>
  </si>
  <si>
    <t>Total Assets (A+B)</t>
  </si>
  <si>
    <t>Owner's (or shareholders') equity</t>
  </si>
  <si>
    <t>Total Equity</t>
  </si>
  <si>
    <t>Total Liabilities and Equities</t>
  </si>
  <si>
    <t>Financial Analysis - ratios</t>
  </si>
  <si>
    <t>Inventory Turnover</t>
  </si>
  <si>
    <t>Receivables Turnover </t>
  </si>
  <si>
    <t>1. Activity Ratio</t>
  </si>
  <si>
    <t>Current ratio</t>
  </si>
  <si>
    <t>Acid test (quick ratio)</t>
  </si>
  <si>
    <t>2. Liquidity </t>
  </si>
  <si>
    <t>Debt on Assets</t>
  </si>
  <si>
    <t>Debt-equity ratio</t>
  </si>
  <si>
    <t>3. Debt</t>
  </si>
  <si>
    <t>ROA (Return on Assets)</t>
  </si>
  <si>
    <t>ROE (Return on Equity)</t>
  </si>
  <si>
    <t>4. Profitability</t>
  </si>
  <si>
    <t>Working Capital</t>
  </si>
  <si>
    <t>Net Profit Margin</t>
  </si>
  <si>
    <t>5. Others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</si>
  <si>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</si>
  <si>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</si>
  <si>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</si>
  <si>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</si>
  <si>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</si>
  <si>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</si>
  <si>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</si>
  <si>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</si>
  <si>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</si>
  <si>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</si>
  <si>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</si>
  <si>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</si>
  <si>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</si>
  <si>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Categorisation</t>
  </si>
  <si>
    <t>Transactions</t>
  </si>
  <si>
    <t xml:space="preserve">Annual Amount </t>
  </si>
  <si>
    <t>Annual Amount</t>
  </si>
  <si>
    <t>Municipal Fees</t>
  </si>
  <si>
    <t>Non-Bank &gt;12months</t>
  </si>
  <si>
    <t xml:space="preserve">Non Bank Loan &lt;12months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</si>
</sst>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5" xfId="0" applyFont="1" applyBorder="1"/>
    <xf numFmtId="0" fontId="1" fillId="0" borderId="6" xfId="0" applyFont="1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0" xfId="0" applyFont="1" applyBorder="1"/>
    <xf numFmtId="0" fontId="1" fillId="0" borderId="9" xfId="0" applyFont="1" applyBorder="1"/>
    <xf numFmtId="0" fontId="1" fillId="0" borderId="8" xfId="0" applyFont="1" applyBorder="1"/>
    <xf numFmtId="165" fontId="1" fillId="0" borderId="5" xfId="1" applyNumberFormat="1" applyFont="1" applyBorder="1"/>
    <xf numFmtId="165" fontId="0" fillId="0" borderId="2" xfId="1" applyNumberFormat="1" applyFont="1" applyBorder="1"/>
    <xf numFmtId="165" fontId="0" fillId="0" borderId="0" xfId="1" applyNumberFormat="1" applyFont="1" applyBorder="1"/>
    <xf numFmtId="165" fontId="0" fillId="0" borderId="0" xfId="1" applyNumberFormat="1" applyFont="1"/>
    <xf numFmtId="165" fontId="0" fillId="0" borderId="5" xfId="1" applyNumberFormat="1" applyFont="1" applyBorder="1"/>
    <xf numFmtId="165" fontId="1" fillId="0" borderId="0" xfId="1" applyNumberFormat="1" applyFont="1" applyBorder="1"/>
    <xf numFmtId="165" fontId="1" fillId="0" borderId="4" xfId="1" applyNumberFormat="1" applyFont="1" applyBorder="1"/>
    <xf numFmtId="165" fontId="1" fillId="0" borderId="8" xfId="1" applyNumberFormat="1" applyFont="1" applyBorder="1"/>
    <xf numFmtId="165" fontId="1" fillId="0" borderId="9" xfId="1" applyNumberFormat="1" applyFont="1" applyBorder="1"/>
    <xf numFmtId="165" fontId="1" fillId="0" borderId="10" xfId="1" applyNumberFormat="1" applyFont="1" applyBorder="1"/>
    <xf numFmtId="165" fontId="1" fillId="0" borderId="0" xfId="1" applyNumberFormat="1" applyFont="1"/>
    <xf numFmtId="165" fontId="2" fillId="0" borderId="0" xfId="1" applyNumberFormat="1" applyFont="1" applyBorder="1"/>
    <xf numFmtId="165" fontId="2" fillId="0" borderId="9" xfId="1" applyNumberFormat="1" applyFont="1" applyBorder="1"/>
    <xf numFmtId="164" fontId="0" fillId="0" borderId="2" xfId="1" applyFont="1" applyBorder="1"/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165" fontId="1" fillId="0" borderId="8" xfId="1" applyNumberFormat="1" applyFont="1" applyFill="1" applyBorder="1" applyAlignment="1">
      <alignment horizontal="center" vertical="center"/>
    </xf>
    <xf numFmtId="165" fontId="1" fillId="0" borderId="9" xfId="1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65" fontId="1" fillId="0" borderId="8" xfId="1" applyNumberFormat="1" applyFont="1" applyBorder="1" applyAlignment="1">
      <alignment horizontal="center" vertical="center"/>
    </xf>
    <xf numFmtId="165" fontId="1" fillId="0" borderId="10" xfId="1" applyNumberFormat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N73"/>
  <sheetViews>
    <sheetView tabSelected="1" workbookViewId="0">
      <pane ySplit="3" topLeftCell="A4" activePane="bottomLeft" state="frozen"/>
      <selection pane="bottomLeft" activeCell="B73" sqref="B73"/>
    </sheetView>
  </sheetViews>
  <sheetFormatPr baseColWidth="10" defaultColWidth="8.83203125" defaultRowHeight="15" x14ac:dyDescent="0.2"/>
  <cols>
    <col min="1" max="1" width="43.83203125" customWidth="1"/>
    <col min="2" max="2" width="11.5" style="20" bestFit="1" customWidth="1"/>
    <col min="3" max="3" width="10.5" customWidth="1"/>
    <col min="10" max="10" width="10.83203125" bestFit="1" customWidth="1"/>
    <col min="12" max="12" width="10.5" bestFit="1" customWidth="1"/>
    <col min="13" max="13" width="10.1640625" bestFit="1" customWidth="1"/>
    <col min="14" max="14" width="15.5" style="27" bestFit="1" customWidth="1"/>
  </cols>
  <sheetData>
    <row r="2" spans="1:14" x14ac:dyDescent="0.2">
      <c r="A2" s="31" t="s">
        <v>133</v>
      </c>
      <c r="B2" s="33" t="s">
        <v>131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4" t="s">
        <v>134</v>
      </c>
    </row>
    <row r="3" spans="1:14" x14ac:dyDescent="0.2">
      <c r="A3" s="32"/>
      <c r="B3" s="17" t="s">
        <v>119</v>
      </c>
      <c r="C3" s="3" t="s">
        <v>120</v>
      </c>
      <c r="D3" s="3" t="s">
        <v>121</v>
      </c>
      <c r="E3" s="3" t="s">
        <v>122</v>
      </c>
      <c r="F3" s="3" t="s">
        <v>123</v>
      </c>
      <c r="G3" s="3" t="s">
        <v>124</v>
      </c>
      <c r="H3" s="3" t="s">
        <v>125</v>
      </c>
      <c r="I3" s="3" t="s">
        <v>126</v>
      </c>
      <c r="J3" s="3" t="s">
        <v>127</v>
      </c>
      <c r="K3" s="3" t="s">
        <v>128</v>
      </c>
      <c r="L3" s="3" t="s">
        <v>129</v>
      </c>
      <c r="M3" s="3" t="s">
        <v>130</v>
      </c>
      <c r="N3" s="35"/>
    </row>
    <row r="4" spans="1:14" x14ac:dyDescent="0.2">
      <c r="A4" s="16" t="s">
        <v>0</v>
      </c>
      <c r="B4" s="18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4"/>
    </row>
    <row r="5" spans="1:14" x14ac:dyDescent="0.2">
      <c r="A5" s="12" t="s">
        <v>2</v>
      </c>
      <c r="B5" s="19"/>
      <c r="N5" s="25">
        <f>SUM(B5:M5)</f>
        <v>0</v>
      </c>
    </row>
    <row r="6" spans="1:14" x14ac:dyDescent="0.2">
      <c r="A6" s="12" t="s">
        <v>3</v>
      </c>
      <c r="B6"/>
      <c r="N6" s="12">
        <f>SUM(B6:M6)</f>
        <v>0</v>
      </c>
    </row>
    <row r="7" spans="1:14" x14ac:dyDescent="0.2">
      <c r="A7" s="12" t="s">
        <v>1</v>
      </c>
      <c r="B7">
        <f t="shared" ref="B7:M7" si="0">B5+B6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 s="12">
        <f>SUM(B7:M7)</f>
        <v>0</v>
      </c>
    </row>
    <row r="8" spans="1:14" x14ac:dyDescent="0.2">
      <c r="A8" s="12"/>
      <c r="B8" s="19"/>
      <c r="N8" s="25"/>
    </row>
    <row r="9" spans="1:14" x14ac:dyDescent="0.2">
      <c r="A9" s="14" t="s">
        <v>4</v>
      </c>
      <c r="B9" s="2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26"/>
    </row>
    <row r="10" spans="1:14" x14ac:dyDescent="0.2">
      <c r="A10" s="11" t="s">
        <v>6</v>
      </c>
      <c r="B10" s="18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4">
        <f>SUM(B10:M10)</f>
        <v>0</v>
      </c>
    </row>
    <row r="11" spans="1:14" x14ac:dyDescent="0.2">
      <c r="A11" s="12" t="s">
        <v>7</v>
      </c>
      <c r="B11"/>
      <c r="C11">
        <f>Transactions!C7+Transactions!C36+Transactions!C43+(Transactions!C7-Transactions!C46)</f>
        <v>0</v>
      </c>
      <c r="D11">
        <f>Transactions!D7+Transactions!D36+Transactions!D43+(Transactions!D7-Transactions!D46)</f>
        <v>0</v>
      </c>
      <c r="E11">
        <f>Transactions!E7+Transactions!E36+Transactions!E43+(Transactions!E7-Transactions!E46)</f>
        <v>0</v>
      </c>
      <c r="F11">
        <f>Transactions!F7+Transactions!F36+Transactions!F43+(Transactions!F7-Transactions!F46)</f>
        <v>0</v>
      </c>
      <c r="G11">
        <f>Transactions!G7+Transactions!G36+Transactions!G43+(Transactions!G7-Transactions!G46)</f>
        <v>0</v>
      </c>
      <c r="H11">
        <f>Transactions!H7+Transactions!H36+Transactions!H43+(Transactions!H7-Transactions!H46)</f>
        <v>0</v>
      </c>
      <c r="I11">
        <f>Transactions!I7+Transactions!I36+Transactions!I43+(Transactions!I7-Transactions!I46)</f>
        <v>0</v>
      </c>
      <c r="J11">
        <f>Transactions!J7+Transactions!J36+Transactions!J43+(Transactions!J7-Transactions!J46)</f>
        <v>0</v>
      </c>
      <c r="K11">
        <f>Transactions!K7+Transactions!K36+Transactions!K43+(Transactions!K7-Transactions!K46)</f>
        <v>0</v>
      </c>
      <c r="L11">
        <f>Transactions!L7+Transactions!L36+Transactions!L43+(Transactions!L7-Transactions!L46)</f>
        <v>0</v>
      </c>
      <c r="M11">
        <f>Transactions!M7+Transactions!M36+Transactions!M43+(Transactions!M7-Transactions!M46)</f>
        <v>0</v>
      </c>
      <c r="N11" s="12">
        <f>SUM(B11:M11)</f>
        <v>0</v>
      </c>
    </row>
    <row r="12" spans="1:14" x14ac:dyDescent="0.2">
      <c r="A12" s="12" t="s">
        <v>5</v>
      </c>
      <c r="B12">
        <f t="shared" ref="B12:M12" si="1">B10+B11</f>
        <v>0</v>
      </c>
      <c r="C12">
        <f t="shared" si="1"/>
        <v>0</v>
      </c>
      <c r="D12">
        <f t="shared" si="1"/>
        <v>0</v>
      </c>
      <c r="E12">
        <f t="shared" si="1"/>
        <v>0</v>
      </c>
      <c r="F12">
        <f t="shared" si="1"/>
        <v>0</v>
      </c>
      <c r="G12">
        <f t="shared" si="1"/>
        <v>0</v>
      </c>
      <c r="H12">
        <f t="shared" si="1"/>
        <v>0</v>
      </c>
      <c r="I12">
        <f t="shared" si="1"/>
        <v>0</v>
      </c>
      <c r="J12">
        <f t="shared" si="1"/>
        <v>0</v>
      </c>
      <c r="K12">
        <f t="shared" si="1"/>
        <v>0</v>
      </c>
      <c r="L12">
        <f t="shared" si="1"/>
        <v>0</v>
      </c>
      <c r="M12">
        <f t="shared" si="1"/>
        <v>0</v>
      </c>
      <c r="N12" s="12">
        <f>SUM(B12:M12)</f>
        <v>0</v>
      </c>
    </row>
    <row r="13" spans="1:14" x14ac:dyDescent="0.2">
      <c r="A13" s="12"/>
      <c r="B13"/>
      <c r="N13" s="12"/>
    </row>
    <row r="14" spans="1:14" x14ac:dyDescent="0.2">
      <c r="A14" s="14" t="s">
        <v>8</v>
      </c>
      <c r="B14" s="21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26"/>
    </row>
    <row r="15" spans="1:14" x14ac:dyDescent="0.2">
      <c r="A15" s="12" t="s">
        <v>9</v>
      </c>
      <c r="B15" s="19"/>
      <c r="M15" s="7"/>
      <c r="N15" s="25">
        <f t="shared" ref="N15:N27" si="2">SUM(B15:M15)</f>
        <v>0</v>
      </c>
    </row>
    <row r="16" spans="1:14" x14ac:dyDescent="0.2">
      <c r="A16" s="12" t="s">
        <v>10</v>
      </c>
      <c r="B16" s="19"/>
      <c r="M16" s="7"/>
      <c r="N16" s="25">
        <f t="shared" si="2"/>
        <v>0</v>
      </c>
    </row>
    <row r="17" spans="1:14" x14ac:dyDescent="0.2">
      <c r="A17" s="12" t="s">
        <v>11</v>
      </c>
      <c r="B17" s="19"/>
      <c r="M17" s="7"/>
      <c r="N17" s="25">
        <f t="shared" si="2"/>
        <v>0</v>
      </c>
    </row>
    <row r="18" spans="1:14" x14ac:dyDescent="0.2">
      <c r="A18" s="12" t="s">
        <v>12</v>
      </c>
      <c r="B18" s="19"/>
      <c r="M18" s="7"/>
      <c r="N18" s="25">
        <f t="shared" si="2"/>
        <v>0</v>
      </c>
    </row>
    <row r="19" spans="1:14" x14ac:dyDescent="0.2">
      <c r="A19" s="12" t="s">
        <v>13</v>
      </c>
      <c r="B19" s="19"/>
      <c r="M19" s="7"/>
      <c r="N19" s="25">
        <f t="shared" si="2"/>
        <v>0</v>
      </c>
    </row>
    <row r="20" spans="1:14" x14ac:dyDescent="0.2">
      <c r="A20" s="12" t="s">
        <v>14</v>
      </c>
      <c r="B20" s="19"/>
      <c r="M20" s="7"/>
      <c r="N20" s="25">
        <f t="shared" si="2"/>
        <v>0</v>
      </c>
    </row>
    <row r="21" spans="1:14" x14ac:dyDescent="0.2">
      <c r="A21" s="12" t="s">
        <v>15</v>
      </c>
      <c r="B21" s="19"/>
      <c r="M21" s="7"/>
      <c r="N21" s="25">
        <f t="shared" si="2"/>
        <v>0</v>
      </c>
    </row>
    <row r="22" spans="1:14" x14ac:dyDescent="0.2">
      <c r="A22" s="12" t="s">
        <v>16</v>
      </c>
      <c r="B22" s="19"/>
      <c r="M22" s="7"/>
      <c r="N22" s="25">
        <f t="shared" si="2"/>
        <v>0</v>
      </c>
    </row>
    <row r="23" spans="1:14" x14ac:dyDescent="0.2">
      <c r="A23" s="12" t="s">
        <v>17</v>
      </c>
      <c r="B23" s="19"/>
      <c r="M23" s="7"/>
      <c r="N23" s="25">
        <f t="shared" si="2"/>
        <v>0</v>
      </c>
    </row>
    <row r="24" spans="1:14" x14ac:dyDescent="0.2">
      <c r="A24" s="12" t="s">
        <v>18</v>
      </c>
      <c r="B24" s="19"/>
      <c r="M24" s="7"/>
      <c r="N24" s="25">
        <f t="shared" si="2"/>
        <v>0</v>
      </c>
    </row>
    <row r="25" spans="1:14" x14ac:dyDescent="0.2">
      <c r="A25" s="12" t="s">
        <v>19</v>
      </c>
      <c r="B25" s="19"/>
      <c r="M25" s="7"/>
      <c r="N25" s="25">
        <f t="shared" si="2"/>
        <v>0</v>
      </c>
    </row>
    <row r="26" spans="1:14" x14ac:dyDescent="0.2">
      <c r="A26" s="12" t="s">
        <v>136</v>
      </c>
      <c r="B26" s="19"/>
      <c r="M26" s="7"/>
      <c r="N26" s="25">
        <f>SUM(B26:B26)</f>
        <v>0</v>
      </c>
    </row>
    <row r="27" spans="1:14" x14ac:dyDescent="0.2">
      <c r="A27" s="12" t="s">
        <v>20</v>
      </c>
      <c r="B27" s="19"/>
      <c r="M27" s="7"/>
      <c r="N27" s="25">
        <f t="shared" si="2"/>
        <v>0</v>
      </c>
    </row>
    <row r="28" spans="1:14" x14ac:dyDescent="0.2">
      <c r="A28" s="15" t="s">
        <v>21</v>
      </c>
      <c r="B28">
        <f t="shared" ref="B28:M28" si="3">SUM(B15:B27)</f>
        <v>0</v>
      </c>
      <c r="C28" s="1">
        <f t="shared" si="3"/>
        <v>0</v>
      </c>
      <c r="D28" s="1">
        <f t="shared" si="3"/>
        <v>0</v>
      </c>
      <c r="E28" s="1">
        <f t="shared" si="3"/>
        <v>0</v>
      </c>
      <c r="F28" s="1">
        <f t="shared" si="3"/>
        <v>0</v>
      </c>
      <c r="G28" s="1">
        <f t="shared" si="3"/>
        <v>0</v>
      </c>
      <c r="H28" s="1">
        <f t="shared" si="3"/>
        <v>0</v>
      </c>
      <c r="I28" s="1">
        <f t="shared" si="3"/>
        <v>0</v>
      </c>
      <c r="J28" s="1">
        <f t="shared" si="3"/>
        <v>0</v>
      </c>
      <c r="K28" s="1">
        <f t="shared" si="3"/>
        <v>0</v>
      </c>
      <c r="L28" s="1">
        <f t="shared" si="3"/>
        <v>0</v>
      </c>
      <c r="M28" s="10">
        <f t="shared" si="3"/>
        <v>0</v>
      </c>
      <c r="N28" s="25">
        <f>SUM(B28:M28)</f>
        <v>0</v>
      </c>
    </row>
    <row r="29" spans="1:14" x14ac:dyDescent="0.2">
      <c r="A29" s="12"/>
      <c r="B29"/>
      <c r="M29" s="7"/>
      <c r="N29" s="25"/>
    </row>
    <row r="30" spans="1:14" x14ac:dyDescent="0.2">
      <c r="A30" s="14" t="s">
        <v>22</v>
      </c>
      <c r="B30" s="21"/>
      <c r="C30" s="8"/>
      <c r="D30" s="8"/>
      <c r="E30" s="8"/>
      <c r="F30" s="8"/>
      <c r="G30" s="8"/>
      <c r="H30" s="8"/>
      <c r="I30" s="8"/>
      <c r="J30" s="8"/>
      <c r="K30" s="8"/>
      <c r="L30" s="8"/>
      <c r="M30" s="9"/>
      <c r="N30" s="26"/>
    </row>
    <row r="31" spans="1:14" x14ac:dyDescent="0.2">
      <c r="A31" s="11" t="s">
        <v>23</v>
      </c>
      <c r="B31" s="18"/>
      <c r="C31" s="5"/>
      <c r="D31" s="5"/>
      <c r="E31" s="5"/>
      <c r="F31" s="5"/>
      <c r="G31" s="5"/>
      <c r="H31" s="5"/>
      <c r="I31" s="5"/>
      <c r="J31" s="5"/>
      <c r="K31" s="5"/>
      <c r="L31" s="5"/>
      <c r="M31" s="6"/>
      <c r="N31" s="24">
        <f>SUM(B31:M31)</f>
        <v>0</v>
      </c>
    </row>
    <row r="32" spans="1:14" x14ac:dyDescent="0.2">
      <c r="A32" s="12"/>
      <c r="B32" s="19"/>
      <c r="M32" s="7"/>
      <c r="N32" s="25"/>
    </row>
    <row r="33" spans="1:14" x14ac:dyDescent="0.2">
      <c r="A33" s="14" t="s">
        <v>24</v>
      </c>
      <c r="B33" s="21"/>
      <c r="C33" s="8"/>
      <c r="D33" s="8"/>
      <c r="E33" s="8"/>
      <c r="F33" s="8"/>
      <c r="G33" s="8"/>
      <c r="H33" s="8"/>
      <c r="I33" s="8"/>
      <c r="J33" s="8"/>
      <c r="K33" s="8"/>
      <c r="L33" s="8"/>
      <c r="M33" s="9"/>
      <c r="N33" s="26"/>
    </row>
    <row r="34" spans="1:14" x14ac:dyDescent="0.2">
      <c r="A34" s="11" t="s">
        <v>25</v>
      </c>
      <c r="B34" s="18"/>
      <c r="C34" s="5"/>
      <c r="D34" s="5"/>
      <c r="E34" s="5"/>
      <c r="F34" s="5"/>
      <c r="G34" s="5"/>
      <c r="H34" s="5"/>
      <c r="I34" s="5"/>
      <c r="J34" s="5"/>
      <c r="K34" s="5"/>
      <c r="L34" s="5"/>
      <c r="M34" s="6"/>
      <c r="N34" s="24">
        <f>SUM(B34:M34)</f>
        <v>0</v>
      </c>
    </row>
    <row r="35" spans="1:14" x14ac:dyDescent="0.2">
      <c r="A35" s="12" t="s">
        <v>26</v>
      </c>
      <c r="B35" s="19"/>
      <c r="M35" s="7"/>
      <c r="N35" s="25">
        <f>SUM(B35:M35)</f>
        <v>0</v>
      </c>
    </row>
    <row r="36" spans="1:14" x14ac:dyDescent="0.2">
      <c r="A36" s="15" t="s">
        <v>27</v>
      </c>
      <c r="B36">
        <f>B34+B35</f>
        <v>0</v>
      </c>
      <c r="C36" s="1">
        <f t="shared" ref="C36:M36" si="4">C34+C35</f>
        <v>0</v>
      </c>
      <c r="D36" s="1">
        <f t="shared" si="4"/>
        <v>0</v>
      </c>
      <c r="E36" s="1">
        <f t="shared" si="4"/>
        <v>0</v>
      </c>
      <c r="F36" s="1">
        <f t="shared" si="4"/>
        <v>0</v>
      </c>
      <c r="G36" s="1">
        <f t="shared" si="4"/>
        <v>0</v>
      </c>
      <c r="H36" s="1">
        <f t="shared" si="4"/>
        <v>0</v>
      </c>
      <c r="I36" s="1">
        <f t="shared" si="4"/>
        <v>0</v>
      </c>
      <c r="J36" s="1">
        <f t="shared" si="4"/>
        <v>0</v>
      </c>
      <c r="K36" s="1">
        <f t="shared" si="4"/>
        <v>0</v>
      </c>
      <c r="L36" s="1">
        <f t="shared" si="4"/>
        <v>0</v>
      </c>
      <c r="M36" s="10">
        <f t="shared" si="4"/>
        <v>0</v>
      </c>
      <c r="N36" s="25">
        <f>SUM(B36:M36)</f>
        <v>0</v>
      </c>
    </row>
    <row r="37" spans="1:14" x14ac:dyDescent="0.2">
      <c r="A37" s="12"/>
      <c r="B37" s="19"/>
      <c r="M37" s="7"/>
      <c r="N37" s="25"/>
    </row>
    <row r="38" spans="1:14" x14ac:dyDescent="0.2">
      <c r="A38" s="12" t="s">
        <v>28</v>
      </c>
      <c r="B38" s="19"/>
      <c r="M38" s="7"/>
      <c r="N38" s="25">
        <f>SUM(B38:M38)</f>
        <v>0</v>
      </c>
    </row>
    <row r="39" spans="1:14" x14ac:dyDescent="0.2">
      <c r="A39" s="12"/>
      <c r="B39" s="19"/>
      <c r="M39" s="7"/>
      <c r="N39" s="25"/>
    </row>
    <row r="40" spans="1:14" x14ac:dyDescent="0.2">
      <c r="A40" s="14" t="s">
        <v>29</v>
      </c>
      <c r="B40" s="21"/>
      <c r="C40" s="8"/>
      <c r="D40" s="8"/>
      <c r="E40" s="8"/>
      <c r="F40" s="8"/>
      <c r="G40" s="8"/>
      <c r="H40" s="8"/>
      <c r="I40" s="8"/>
      <c r="J40" s="8"/>
      <c r="K40" s="8"/>
      <c r="L40" s="8"/>
      <c r="M40" s="9"/>
      <c r="N40" s="26"/>
    </row>
    <row r="41" spans="1:14" x14ac:dyDescent="0.2">
      <c r="A41" s="11" t="s">
        <v>30</v>
      </c>
      <c r="B41">
        <f t="shared" ref="B41:M41" si="5">B7-B5</f>
        <v>0</v>
      </c>
      <c r="C41" s="5">
        <f t="shared" si="5"/>
        <v>0</v>
      </c>
      <c r="D41" s="5">
        <f t="shared" si="5"/>
        <v>0</v>
      </c>
      <c r="E41" s="5">
        <f t="shared" si="5"/>
        <v>0</v>
      </c>
      <c r="F41" s="5">
        <f t="shared" si="5"/>
        <v>0</v>
      </c>
      <c r="G41" s="5">
        <f t="shared" si="5"/>
        <v>0</v>
      </c>
      <c r="H41" s="5">
        <f t="shared" si="5"/>
        <v>0</v>
      </c>
      <c r="I41" s="5">
        <f t="shared" si="5"/>
        <v>0</v>
      </c>
      <c r="J41" s="5">
        <f t="shared" si="5"/>
        <v>0</v>
      </c>
      <c r="K41" s="5">
        <f t="shared" si="5"/>
        <v>0</v>
      </c>
      <c r="L41" s="5">
        <f t="shared" si="5"/>
        <v>0</v>
      </c>
      <c r="M41" s="6">
        <f t="shared" si="5"/>
        <v>0</v>
      </c>
      <c r="N41" s="24">
        <f>SUM(B41:M41)</f>
        <v>0</v>
      </c>
    </row>
    <row r="42" spans="1:14" x14ac:dyDescent="0.2">
      <c r="A42" s="12" t="s">
        <v>31</v>
      </c>
      <c r="B42"/>
      <c r="M42" s="7"/>
      <c r="N42" s="25">
        <f>SUM(B42:M42)</f>
        <v>0</v>
      </c>
    </row>
    <row r="43" spans="1:14" x14ac:dyDescent="0.2">
      <c r="A43" s="15" t="s">
        <v>32</v>
      </c>
      <c r="B43">
        <f>B41+B42</f>
        <v>0</v>
      </c>
      <c r="C43">
        <f t="shared" ref="C43:M43" si="6">C41+C42</f>
        <v>0</v>
      </c>
      <c r="D43">
        <f t="shared" si="6"/>
        <v>0</v>
      </c>
      <c r="E43">
        <f t="shared" si="6"/>
        <v>0</v>
      </c>
      <c r="F43">
        <f t="shared" si="6"/>
        <v>0</v>
      </c>
      <c r="G43">
        <f t="shared" si="6"/>
        <v>0</v>
      </c>
      <c r="H43">
        <f t="shared" si="6"/>
        <v>0</v>
      </c>
      <c r="I43">
        <f t="shared" si="6"/>
        <v>0</v>
      </c>
      <c r="J43">
        <f t="shared" si="6"/>
        <v>0</v>
      </c>
      <c r="K43">
        <f t="shared" si="6"/>
        <v>0</v>
      </c>
      <c r="L43">
        <f t="shared" si="6"/>
        <v>0</v>
      </c>
      <c r="M43" s="7">
        <f t="shared" si="6"/>
        <v>0</v>
      </c>
      <c r="N43" s="25">
        <f>SUM(B43:M43)</f>
        <v>0</v>
      </c>
    </row>
    <row r="44" spans="1:14" x14ac:dyDescent="0.2">
      <c r="A44" s="12"/>
      <c r="B44" s="19"/>
      <c r="M44" s="7"/>
      <c r="N44" s="25"/>
    </row>
    <row r="45" spans="1:14" x14ac:dyDescent="0.2">
      <c r="A45" s="14" t="s">
        <v>33</v>
      </c>
      <c r="B45" s="21"/>
      <c r="C45" s="8"/>
      <c r="D45" s="8"/>
      <c r="E45" s="8"/>
      <c r="F45" s="8"/>
      <c r="G45" s="8"/>
      <c r="H45" s="8"/>
      <c r="I45" s="8"/>
      <c r="J45" s="8"/>
      <c r="K45" s="8"/>
      <c r="L45" s="8"/>
      <c r="M45" s="9"/>
      <c r="N45" s="26"/>
    </row>
    <row r="46" spans="1:14" x14ac:dyDescent="0.2">
      <c r="A46" s="11" t="s">
        <v>34</v>
      </c>
      <c r="B46" s="18"/>
      <c r="C46" s="5"/>
      <c r="D46" s="5"/>
      <c r="E46" s="5"/>
      <c r="F46" s="5"/>
      <c r="G46" s="5"/>
      <c r="H46" s="5"/>
      <c r="I46" s="5"/>
      <c r="J46" s="5"/>
      <c r="K46" s="5"/>
      <c r="L46" s="5"/>
      <c r="M46" s="6"/>
      <c r="N46" s="24">
        <f>SUM(B46:M46)</f>
        <v>0</v>
      </c>
    </row>
    <row r="47" spans="1:14" x14ac:dyDescent="0.2">
      <c r="A47" s="12"/>
      <c r="B47" s="19"/>
      <c r="M47" s="7"/>
      <c r="N47" s="25"/>
    </row>
    <row r="48" spans="1:14" x14ac:dyDescent="0.2">
      <c r="A48" s="14" t="s">
        <v>35</v>
      </c>
      <c r="B48" s="21"/>
      <c r="C48" s="8"/>
      <c r="D48" s="8"/>
      <c r="E48" s="8"/>
      <c r="F48" s="8"/>
      <c r="G48" s="8"/>
      <c r="H48" s="8"/>
      <c r="I48" s="8"/>
      <c r="J48" s="8"/>
      <c r="K48" s="8"/>
      <c r="L48" s="8"/>
      <c r="M48" s="9"/>
      <c r="N48" s="26"/>
    </row>
    <row r="49" spans="1:14" x14ac:dyDescent="0.2">
      <c r="A49" s="11" t="s">
        <v>36</v>
      </c>
      <c r="B49" s="18"/>
      <c r="C49" s="5"/>
      <c r="D49" s="5"/>
      <c r="E49" s="5"/>
      <c r="F49" s="5"/>
      <c r="G49" s="5"/>
      <c r="H49" s="5"/>
      <c r="I49" s="5"/>
      <c r="J49" s="5"/>
      <c r="K49" s="5"/>
      <c r="L49" s="5"/>
      <c r="M49" s="6"/>
      <c r="N49" s="24">
        <f t="shared" ref="N49:N54" si="7">SUM(B49:M49)</f>
        <v>0</v>
      </c>
    </row>
    <row r="50" spans="1:14" x14ac:dyDescent="0.2">
      <c r="A50" s="12" t="s">
        <v>37</v>
      </c>
      <c r="B50" s="28"/>
      <c r="M50" s="7"/>
      <c r="N50" s="29">
        <f t="shared" si="7"/>
        <v>0</v>
      </c>
    </row>
    <row r="51" spans="1:14" x14ac:dyDescent="0.2">
      <c r="A51" s="12" t="s">
        <v>38</v>
      </c>
      <c r="B51" s="19"/>
      <c r="M51" s="7"/>
      <c r="N51" s="25">
        <f t="shared" si="7"/>
        <v>0</v>
      </c>
    </row>
    <row r="52" spans="1:14" x14ac:dyDescent="0.2">
      <c r="A52" s="12" t="s">
        <v>138</v>
      </c>
      <c r="B52" s="19"/>
      <c r="M52" s="7"/>
      <c r="N52" s="25">
        <f t="shared" si="7"/>
        <v>0</v>
      </c>
    </row>
    <row r="53" spans="1:14" x14ac:dyDescent="0.2">
      <c r="A53" s="15" t="s">
        <v>39</v>
      </c>
      <c r="B53">
        <f>B49+B52</f>
        <v>0</v>
      </c>
      <c r="C53">
        <f t="shared" ref="C53:M53" si="8">C49+C52</f>
        <v>0</v>
      </c>
      <c r="D53">
        <f t="shared" si="8"/>
        <v>0</v>
      </c>
      <c r="E53">
        <f t="shared" si="8"/>
        <v>0</v>
      </c>
      <c r="F53">
        <f t="shared" si="8"/>
        <v>0</v>
      </c>
      <c r="G53">
        <f t="shared" si="8"/>
        <v>0</v>
      </c>
      <c r="H53">
        <f t="shared" si="8"/>
        <v>0</v>
      </c>
      <c r="I53">
        <f t="shared" si="8"/>
        <v>0</v>
      </c>
      <c r="J53">
        <f t="shared" si="8"/>
        <v>0</v>
      </c>
      <c r="K53">
        <f t="shared" si="8"/>
        <v>0</v>
      </c>
      <c r="L53">
        <f t="shared" si="8"/>
        <v>0</v>
      </c>
      <c r="M53" s="7">
        <f t="shared" si="8"/>
        <v>0</v>
      </c>
      <c r="N53" s="25">
        <f t="shared" si="7"/>
        <v>0</v>
      </c>
    </row>
    <row r="54" spans="1:14" x14ac:dyDescent="0.2">
      <c r="A54" s="12" t="s">
        <v>40</v>
      </c>
      <c r="B54" s="19"/>
      <c r="M54" s="7"/>
      <c r="N54" s="25">
        <f t="shared" si="7"/>
        <v>0</v>
      </c>
    </row>
    <row r="55" spans="1:14" x14ac:dyDescent="0.2">
      <c r="A55" s="12" t="s">
        <v>41</v>
      </c>
      <c r="B55" s="22"/>
      <c r="M55" s="7"/>
      <c r="N55" s="25">
        <f>SUM(B55:M55)</f>
        <v>0</v>
      </c>
    </row>
    <row r="56" spans="1:14" x14ac:dyDescent="0.2">
      <c r="A56" s="12" t="s">
        <v>42</v>
      </c>
      <c r="B56" s="19"/>
      <c r="M56" s="7"/>
      <c r="N56" s="25">
        <f>SUM(B56:M56)</f>
        <v>0</v>
      </c>
    </row>
    <row r="57" spans="1:14" x14ac:dyDescent="0.2">
      <c r="A57" s="12" t="s">
        <v>43</v>
      </c>
      <c r="B57" s="19"/>
      <c r="M57" s="7"/>
      <c r="N57" s="25">
        <f>SUM(B57:M57)</f>
        <v>0</v>
      </c>
    </row>
    <row r="58" spans="1:14" x14ac:dyDescent="0.2">
      <c r="A58" s="15" t="s">
        <v>44</v>
      </c>
      <c r="B58">
        <f>SUM(B53:B57)</f>
        <v>0</v>
      </c>
      <c r="C58" s="1">
        <f t="shared" ref="C58:M58" si="9">SUM(C53:C57)</f>
        <v>0</v>
      </c>
      <c r="D58" s="1">
        <f>SUM(D53:D57)</f>
        <v>0</v>
      </c>
      <c r="E58" s="1">
        <f t="shared" si="9"/>
        <v>0</v>
      </c>
      <c r="F58" s="1">
        <f t="shared" si="9"/>
        <v>0</v>
      </c>
      <c r="G58" s="1">
        <f t="shared" si="9"/>
        <v>0</v>
      </c>
      <c r="H58" s="1">
        <f t="shared" si="9"/>
        <v>0</v>
      </c>
      <c r="I58" s="1">
        <f t="shared" si="9"/>
        <v>0</v>
      </c>
      <c r="J58" s="1">
        <f t="shared" si="9"/>
        <v>0</v>
      </c>
      <c r="K58" s="1">
        <f t="shared" si="9"/>
        <v>0</v>
      </c>
      <c r="L58" s="1">
        <f t="shared" si="9"/>
        <v>0</v>
      </c>
      <c r="M58" s="10">
        <f t="shared" si="9"/>
        <v>0</v>
      </c>
      <c r="N58" s="25">
        <f>SUM(B58:M58)</f>
        <v>0</v>
      </c>
    </row>
    <row r="59" spans="1:14" x14ac:dyDescent="0.2">
      <c r="A59" s="12"/>
      <c r="B59" s="19"/>
      <c r="M59" s="7"/>
      <c r="N59" s="25"/>
    </row>
    <row r="60" spans="1:14" x14ac:dyDescent="0.2">
      <c r="A60" s="12" t="s">
        <v>45</v>
      </c>
      <c r="B60" s="19"/>
      <c r="M60" s="7"/>
      <c r="N60" s="25">
        <f>SUM(B60:M60)</f>
        <v>0</v>
      </c>
    </row>
    <row r="61" spans="1:14" x14ac:dyDescent="0.2">
      <c r="A61" s="12" t="s">
        <v>46</v>
      </c>
      <c r="B61" s="19"/>
      <c r="M61" s="7"/>
      <c r="N61" s="25">
        <f>SUM(B61:M61)</f>
        <v>0</v>
      </c>
    </row>
    <row r="62" spans="1:14" x14ac:dyDescent="0.2">
      <c r="A62" s="15" t="s">
        <v>47</v>
      </c>
      <c r="B62">
        <f>B60+B61</f>
        <v>0</v>
      </c>
      <c r="C62" s="1">
        <f>C60+C61</f>
        <v>0</v>
      </c>
      <c r="D62" s="1">
        <f t="shared" ref="D62:M62" si="10">D60+D61</f>
        <v>0</v>
      </c>
      <c r="E62" s="1">
        <f t="shared" si="10"/>
        <v>0</v>
      </c>
      <c r="F62" s="1">
        <f t="shared" si="10"/>
        <v>0</v>
      </c>
      <c r="G62" s="1">
        <f t="shared" si="10"/>
        <v>0</v>
      </c>
      <c r="H62" s="1">
        <f t="shared" si="10"/>
        <v>0</v>
      </c>
      <c r="I62" s="1">
        <f t="shared" si="10"/>
        <v>0</v>
      </c>
      <c r="J62" s="1">
        <f t="shared" si="10"/>
        <v>0</v>
      </c>
      <c r="K62" s="1">
        <f t="shared" si="10"/>
        <v>0</v>
      </c>
      <c r="L62" s="1">
        <f t="shared" si="10"/>
        <v>0</v>
      </c>
      <c r="M62" s="10">
        <f t="shared" si="10"/>
        <v>0</v>
      </c>
      <c r="N62" s="25">
        <f>SUM(B62:M62)</f>
        <v>0</v>
      </c>
    </row>
    <row r="63" spans="1:14" x14ac:dyDescent="0.2">
      <c r="A63" s="12"/>
      <c r="B63" s="19"/>
      <c r="M63" s="7"/>
      <c r="N63" s="25"/>
    </row>
    <row r="64" spans="1:14" s="1" customFormat="1" x14ac:dyDescent="0.2">
      <c r="A64" s="14" t="s">
        <v>48</v>
      </c>
      <c r="B64" s="17"/>
      <c r="C64" s="3"/>
      <c r="D64" s="3"/>
      <c r="E64" s="3"/>
      <c r="F64" s="3"/>
      <c r="G64" s="3"/>
      <c r="H64" s="3"/>
      <c r="I64" s="3"/>
      <c r="J64" s="3"/>
      <c r="K64" s="3"/>
      <c r="L64" s="3"/>
      <c r="M64" s="4"/>
      <c r="N64" s="26"/>
    </row>
    <row r="65" spans="1:14" x14ac:dyDescent="0.2">
      <c r="A65" s="11" t="s">
        <v>49</v>
      </c>
      <c r="B65" s="18"/>
      <c r="C65" s="5"/>
      <c r="D65" s="5"/>
      <c r="E65" s="5"/>
      <c r="F65" s="5"/>
      <c r="G65" s="5"/>
      <c r="H65" s="5"/>
      <c r="I65" s="5"/>
      <c r="J65" s="5"/>
      <c r="K65" s="5"/>
      <c r="L65" s="5"/>
      <c r="M65" s="6"/>
      <c r="N65" s="24">
        <f>SUM(B65:M65)</f>
        <v>0</v>
      </c>
    </row>
    <row r="66" spans="1:14" x14ac:dyDescent="0.2">
      <c r="A66" s="12" t="s">
        <v>50</v>
      </c>
      <c r="B66" s="19"/>
      <c r="M66" s="7"/>
      <c r="N66" s="25">
        <f t="shared" ref="N66:N71" si="11">SUM(B66:M66)</f>
        <v>0</v>
      </c>
    </row>
    <row r="67" spans="1:14" x14ac:dyDescent="0.2">
      <c r="A67" s="12" t="s">
        <v>51</v>
      </c>
      <c r="B67" s="19"/>
      <c r="M67" s="7"/>
      <c r="N67" s="25">
        <f t="shared" si="11"/>
        <v>0</v>
      </c>
    </row>
    <row r="68" spans="1:14" x14ac:dyDescent="0.2">
      <c r="A68" s="12" t="s">
        <v>52</v>
      </c>
      <c r="B68" s="19"/>
      <c r="M68" s="7"/>
      <c r="N68" s="25">
        <f t="shared" si="11"/>
        <v>0</v>
      </c>
    </row>
    <row r="69" spans="1:14" x14ac:dyDescent="0.2">
      <c r="A69" s="12" t="s">
        <v>53</v>
      </c>
      <c r="B69" s="19"/>
      <c r="M69" s="7"/>
      <c r="N69" s="25">
        <f t="shared" si="11"/>
        <v>0</v>
      </c>
    </row>
    <row r="70" spans="1:14" x14ac:dyDescent="0.2">
      <c r="A70" s="12" t="s">
        <v>54</v>
      </c>
      <c r="B70" s="19"/>
      <c r="M70" s="7"/>
      <c r="N70" s="25">
        <f t="shared" si="11"/>
        <v>0</v>
      </c>
    </row>
    <row r="71" spans="1:14" s="1" customFormat="1" x14ac:dyDescent="0.2">
      <c r="A71" s="15" t="s">
        <v>55</v>
      </c>
      <c r="B71">
        <f>SUM(B65:B70)</f>
        <v>0</v>
      </c>
      <c r="C71" s="1">
        <f t="shared" ref="C71:M71" si="12">SUM(C65:C70)</f>
        <v>0</v>
      </c>
      <c r="D71" s="1">
        <f t="shared" si="12"/>
        <v>0</v>
      </c>
      <c r="E71" s="1">
        <f t="shared" si="12"/>
        <v>0</v>
      </c>
      <c r="F71" s="1">
        <f t="shared" si="12"/>
        <v>0</v>
      </c>
      <c r="G71" s="1">
        <f t="shared" si="12"/>
        <v>0</v>
      </c>
      <c r="H71" s="1">
        <f t="shared" si="12"/>
        <v>0</v>
      </c>
      <c r="I71" s="1">
        <f t="shared" si="12"/>
        <v>0</v>
      </c>
      <c r="J71" s="1">
        <f t="shared" si="12"/>
        <v>0</v>
      </c>
      <c r="K71" s="1">
        <f t="shared" si="12"/>
        <v>0</v>
      </c>
      <c r="L71" s="1">
        <f t="shared" si="12"/>
        <v>0</v>
      </c>
      <c r="M71" s="10">
        <f t="shared" si="12"/>
        <v>0</v>
      </c>
      <c r="N71" s="25">
        <f t="shared" si="11"/>
        <v>0</v>
      </c>
    </row>
    <row r="72" spans="1:14" x14ac:dyDescent="0.2">
      <c r="A72" s="12"/>
      <c r="B72" s="19"/>
      <c r="M72" s="7"/>
      <c r="N72" s="25"/>
    </row>
    <row r="73" spans="1:14" x14ac:dyDescent="0.2">
      <c r="A73" s="14" t="s">
        <v>65</v>
      </c>
      <c r="B73">
        <f>B71+B46+B36+B43</f>
        <v>0</v>
      </c>
      <c r="C73" s="3">
        <f t="shared" ref="C73:M73" si="13">C71+C46+C36+C43</f>
        <v>0</v>
      </c>
      <c r="D73" s="3">
        <f t="shared" si="13"/>
        <v>0</v>
      </c>
      <c r="E73" s="3">
        <f t="shared" si="13"/>
        <v>0</v>
      </c>
      <c r="F73" s="3">
        <f t="shared" si="13"/>
        <v>0</v>
      </c>
      <c r="G73" s="3">
        <f t="shared" si="13"/>
        <v>0</v>
      </c>
      <c r="H73" s="3">
        <f t="shared" si="13"/>
        <v>0</v>
      </c>
      <c r="I73" s="3">
        <f t="shared" si="13"/>
        <v>0</v>
      </c>
      <c r="J73" s="3">
        <f t="shared" si="13"/>
        <v>0</v>
      </c>
      <c r="K73" s="3">
        <f t="shared" si="13"/>
        <v>0</v>
      </c>
      <c r="L73" s="3">
        <f t="shared" si="13"/>
        <v>0</v>
      </c>
      <c r="M73" s="4">
        <f t="shared" si="13"/>
        <v>0</v>
      </c>
      <c r="N73" s="26">
        <f>SUM(B73:M73)</f>
        <v>0</v>
      </c>
    </row>
  </sheetData>
  <mergeCells count="3">
    <mergeCell ref="A2:A3"/>
    <mergeCell ref="B2:M2"/>
    <mergeCell ref="N2:N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Q94"/>
  <sheetViews>
    <sheetView workbookViewId="0">
      <pane ySplit="3" topLeftCell="A78" activePane="bottomLeft" state="frozen"/>
      <selection pane="bottomLeft" activeCell="B86" sqref="B86"/>
    </sheetView>
  </sheetViews>
  <sheetFormatPr baseColWidth="10" defaultColWidth="8.83203125" defaultRowHeight="15" x14ac:dyDescent="0.2"/>
  <cols>
    <col min="1" max="1" width="43.1640625" bestFit="1" customWidth="1"/>
    <col min="2" max="2" width="12" style="20" customWidth="1"/>
    <col min="10" max="11" width="9.1640625" customWidth="1"/>
    <col min="13" max="13" width="10.1640625" customWidth="1"/>
    <col min="14" max="14" width="15" style="27" bestFit="1" customWidth="1"/>
  </cols>
  <sheetData>
    <row r="2" spans="1:14" x14ac:dyDescent="0.2">
      <c r="A2" s="31" t="s">
        <v>132</v>
      </c>
      <c r="B2" s="36" t="s">
        <v>131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7"/>
      <c r="N2" s="38" t="s">
        <v>135</v>
      </c>
    </row>
    <row r="3" spans="1:14" x14ac:dyDescent="0.2">
      <c r="A3" s="32"/>
      <c r="B3" s="23" t="s">
        <v>119</v>
      </c>
      <c r="C3" s="3" t="s">
        <v>120</v>
      </c>
      <c r="D3" s="3" t="s">
        <v>121</v>
      </c>
      <c r="E3" s="3" t="s">
        <v>122</v>
      </c>
      <c r="F3" s="3" t="s">
        <v>123</v>
      </c>
      <c r="G3" s="3" t="s">
        <v>124</v>
      </c>
      <c r="H3" s="3" t="s">
        <v>125</v>
      </c>
      <c r="I3" s="3" t="s">
        <v>126</v>
      </c>
      <c r="J3" s="3" t="s">
        <v>127</v>
      </c>
      <c r="K3" s="3" t="s">
        <v>128</v>
      </c>
      <c r="L3" s="3" t="s">
        <v>129</v>
      </c>
      <c r="M3" s="4" t="s">
        <v>130</v>
      </c>
      <c r="N3" s="39"/>
    </row>
    <row r="4" spans="1:14" x14ac:dyDescent="0.2">
      <c r="A4" s="16" t="s">
        <v>56</v>
      </c>
      <c r="B4" s="18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4"/>
    </row>
    <row r="5" spans="1:14" x14ac:dyDescent="0.2">
      <c r="A5" s="12" t="s">
        <v>60</v>
      </c>
      <c r="B5" s="19">
        <f>Transactions!B7</f>
        <v>0</v>
      </c>
      <c r="C5">
        <f>Transactions!C7</f>
        <v>0</v>
      </c>
      <c r="D5">
        <f>Transactions!D7</f>
        <v>0</v>
      </c>
      <c r="E5">
        <f>Transactions!E7</f>
        <v>0</v>
      </c>
      <c r="F5">
        <f>Transactions!F7</f>
        <v>0</v>
      </c>
      <c r="G5">
        <f>Transactions!G7</f>
        <v>0</v>
      </c>
      <c r="H5">
        <f>Transactions!H7</f>
        <v>0</v>
      </c>
      <c r="I5">
        <f>Transactions!I7</f>
        <v>0</v>
      </c>
      <c r="J5">
        <f>Transactions!J7</f>
        <v>0</v>
      </c>
      <c r="K5">
        <f>Transactions!K7</f>
        <v>0</v>
      </c>
      <c r="L5">
        <f>Transactions!L7</f>
        <v>0</v>
      </c>
      <c r="M5">
        <f>Transactions!M7</f>
        <v>0</v>
      </c>
      <c r="N5" s="25">
        <f>SUM(B5:M5)</f>
        <v>0</v>
      </c>
    </row>
    <row r="6" spans="1:14" x14ac:dyDescent="0.2">
      <c r="A6" s="15" t="s">
        <v>59</v>
      </c>
      <c r="B6" s="19"/>
      <c r="N6" s="25"/>
    </row>
    <row r="7" spans="1:14" x14ac:dyDescent="0.2">
      <c r="A7" s="12" t="s">
        <v>57</v>
      </c>
      <c r="B7" s="19">
        <f>Transactions!B12+Transactions!B28+Transactions!B31</f>
        <v>0</v>
      </c>
      <c r="C7">
        <f>Transactions!C12+Transactions!C28+Transactions!C31</f>
        <v>0</v>
      </c>
      <c r="D7">
        <f>Transactions!D12+Transactions!D28+Transactions!D31</f>
        <v>0</v>
      </c>
      <c r="E7">
        <f>Transactions!E12+Transactions!E28+Transactions!E31</f>
        <v>0</v>
      </c>
      <c r="F7">
        <f>Transactions!F12+Transactions!F28+Transactions!F31</f>
        <v>0</v>
      </c>
      <c r="G7">
        <f>Transactions!G12+Transactions!G28+Transactions!G31</f>
        <v>0</v>
      </c>
      <c r="H7">
        <f>Transactions!H12+Transactions!H28+Transactions!H31</f>
        <v>0</v>
      </c>
      <c r="I7">
        <f>Transactions!I12+Transactions!I28+Transactions!I31</f>
        <v>0</v>
      </c>
      <c r="J7">
        <f>Transactions!J12+Transactions!J28+Transactions!J31</f>
        <v>0</v>
      </c>
      <c r="K7">
        <f>Transactions!K12+Transactions!K28+Transactions!K31</f>
        <v>0</v>
      </c>
      <c r="L7">
        <f>Transactions!L12+Transactions!L28+Transactions!L31</f>
        <v>0</v>
      </c>
      <c r="M7">
        <f>Transactions!M12+Transactions!M28+Transactions!M31</f>
        <v>0</v>
      </c>
      <c r="N7" s="25">
        <f>SUM(B7:M7)</f>
        <v>0</v>
      </c>
    </row>
    <row r="8" spans="1:14" x14ac:dyDescent="0.2">
      <c r="A8" s="15" t="s">
        <v>58</v>
      </c>
      <c r="B8" s="22">
        <f>B5-B7</f>
        <v>0</v>
      </c>
      <c r="C8" s="1">
        <f t="shared" ref="C8:M8" si="0">C5-C7</f>
        <v>0</v>
      </c>
      <c r="D8" s="1">
        <f t="shared" si="0"/>
        <v>0</v>
      </c>
      <c r="E8" s="1">
        <f t="shared" si="0"/>
        <v>0</v>
      </c>
      <c r="F8" s="1">
        <f t="shared" si="0"/>
        <v>0</v>
      </c>
      <c r="G8" s="1">
        <f t="shared" si="0"/>
        <v>0</v>
      </c>
      <c r="H8" s="1">
        <f t="shared" si="0"/>
        <v>0</v>
      </c>
      <c r="I8" s="1">
        <f t="shared" si="0"/>
        <v>0</v>
      </c>
      <c r="J8" s="1">
        <f t="shared" si="0"/>
        <v>0</v>
      </c>
      <c r="K8" s="1">
        <f t="shared" si="0"/>
        <v>0</v>
      </c>
      <c r="L8" s="1">
        <f t="shared" si="0"/>
        <v>0</v>
      </c>
      <c r="M8" s="1">
        <f t="shared" si="0"/>
        <v>0</v>
      </c>
      <c r="N8" s="25">
        <f>SUM(B8:M8)</f>
        <v>0</v>
      </c>
    </row>
    <row r="9" spans="1:14" x14ac:dyDescent="0.2">
      <c r="A9" s="12"/>
      <c r="B9" s="19"/>
      <c r="N9" s="25"/>
    </row>
    <row r="10" spans="1:14" x14ac:dyDescent="0.2">
      <c r="A10" s="14" t="s">
        <v>61</v>
      </c>
      <c r="B10" s="2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26"/>
    </row>
    <row r="11" spans="1:14" x14ac:dyDescent="0.2">
      <c r="A11" s="16" t="s">
        <v>62</v>
      </c>
      <c r="B11" s="18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4"/>
    </row>
    <row r="12" spans="1:14" x14ac:dyDescent="0.2">
      <c r="A12" s="12" t="s">
        <v>63</v>
      </c>
      <c r="B12" s="19">
        <f>Transactions!B34+Transactions!B35+Transactions!B41+Transactions!B42+(Transactions!B7-Transactions!B46)</f>
        <v>0</v>
      </c>
      <c r="C12">
        <f>Transactions!C34+Transactions!C35+Transactions!C41+Transactions!C42+(Transactions!C7-Transactions!C46)</f>
        <v>0</v>
      </c>
      <c r="D12">
        <f>Transactions!D34+Transactions!D35+Transactions!D41+Transactions!D42+(Transactions!D7-Transactions!D46)</f>
        <v>0</v>
      </c>
      <c r="E12">
        <f>Transactions!E34+Transactions!E35+Transactions!E41+Transactions!E42+(Transactions!E7-Transactions!E46)</f>
        <v>0</v>
      </c>
      <c r="F12">
        <f>Transactions!F34+Transactions!F35+Transactions!F41+Transactions!F42+(Transactions!F7-Transactions!F46)</f>
        <v>0</v>
      </c>
      <c r="G12">
        <f>Transactions!G34+Transactions!G35+Transactions!G41+Transactions!G42+(Transactions!G7-Transactions!G46)</f>
        <v>0</v>
      </c>
      <c r="H12">
        <f>Transactions!H34+Transactions!H35+Transactions!H41+Transactions!H42+(Transactions!H7-Transactions!H46)</f>
        <v>0</v>
      </c>
      <c r="I12">
        <f>Transactions!I34+Transactions!I35+Transactions!I41+Transactions!I42+(Transactions!I7-Transactions!I46)</f>
        <v>0</v>
      </c>
      <c r="J12">
        <f>Transactions!J34+Transactions!J35+Transactions!J41+Transactions!J42+(Transactions!J7-Transactions!J46)</f>
        <v>0</v>
      </c>
      <c r="K12">
        <f>Transactions!K34+Transactions!K35+Transactions!K41+Transactions!K42+(Transactions!K7-Transactions!K46)</f>
        <v>0</v>
      </c>
      <c r="L12">
        <f>Transactions!L34+Transactions!L35+Transactions!L41+Transactions!L42+(Transactions!L7-Transactions!L46)</f>
        <v>0</v>
      </c>
      <c r="M12">
        <f>Transactions!M34+Transactions!M35+Transactions!M41+Transactions!M42+(Transactions!M7-Transactions!M46)</f>
        <v>0</v>
      </c>
      <c r="N12" s="25">
        <f>SUM(B12:M12)</f>
        <v>0</v>
      </c>
    </row>
    <row r="13" spans="1:14" x14ac:dyDescent="0.2">
      <c r="A13" s="12" t="s">
        <v>64</v>
      </c>
      <c r="B13" s="19">
        <f>Transactions!B71</f>
        <v>0</v>
      </c>
      <c r="C13">
        <f>Transactions!C65+Transactions!C68+Transactions!C69</f>
        <v>0</v>
      </c>
      <c r="D13">
        <f>Transactions!D65+Transactions!D68+Transactions!D69</f>
        <v>0</v>
      </c>
      <c r="E13">
        <f>Transactions!E65+Transactions!E68+Transactions!E69</f>
        <v>0</v>
      </c>
      <c r="F13">
        <f>Transactions!F65+Transactions!F68+Transactions!F69</f>
        <v>0</v>
      </c>
      <c r="G13">
        <f>Transactions!G65+Transactions!G68+Transactions!G69</f>
        <v>0</v>
      </c>
      <c r="H13">
        <f>Transactions!H65+Transactions!H68+Transactions!H69</f>
        <v>0</v>
      </c>
      <c r="I13">
        <f>Transactions!I65+Transactions!I68+Transactions!I69</f>
        <v>0</v>
      </c>
      <c r="J13">
        <f>Transactions!J65+Transactions!J68+Transactions!J69</f>
        <v>0</v>
      </c>
      <c r="K13">
        <f>Transactions!K65+Transactions!K68+Transactions!K69</f>
        <v>0</v>
      </c>
      <c r="L13">
        <f>Transactions!L65+Transactions!L68+Transactions!L69</f>
        <v>0</v>
      </c>
      <c r="M13">
        <f>Transactions!M65+Transactions!M68+Transactions!M69</f>
        <v>0</v>
      </c>
      <c r="N13" s="25">
        <f>SUM(B13:M13)</f>
        <v>0</v>
      </c>
    </row>
    <row r="14" spans="1:14" x14ac:dyDescent="0.2">
      <c r="A14" s="15" t="s">
        <v>65</v>
      </c>
      <c r="B14" s="22">
        <f>SUM(B12:B13)</f>
        <v>0</v>
      </c>
      <c r="C14" s="1">
        <f t="shared" ref="C14:M14" si="1">SUM(C12:C13)</f>
        <v>0</v>
      </c>
      <c r="D14" s="1">
        <f t="shared" si="1"/>
        <v>0</v>
      </c>
      <c r="E14" s="1">
        <f t="shared" si="1"/>
        <v>0</v>
      </c>
      <c r="F14" s="1">
        <f t="shared" si="1"/>
        <v>0</v>
      </c>
      <c r="G14" s="1">
        <f t="shared" si="1"/>
        <v>0</v>
      </c>
      <c r="H14" s="1">
        <f t="shared" si="1"/>
        <v>0</v>
      </c>
      <c r="I14" s="1">
        <f t="shared" si="1"/>
        <v>0</v>
      </c>
      <c r="J14" s="1">
        <f t="shared" si="1"/>
        <v>0</v>
      </c>
      <c r="K14" s="1">
        <f t="shared" si="1"/>
        <v>0</v>
      </c>
      <c r="L14" s="1">
        <f t="shared" si="1"/>
        <v>0</v>
      </c>
      <c r="M14" s="1">
        <f t="shared" si="1"/>
        <v>0</v>
      </c>
      <c r="N14" s="25">
        <f>SUM(B14:M14)</f>
        <v>0</v>
      </c>
    </row>
    <row r="15" spans="1:14" x14ac:dyDescent="0.2">
      <c r="A15" s="12"/>
      <c r="B15" s="19"/>
      <c r="N15" s="25"/>
    </row>
    <row r="16" spans="1:14" x14ac:dyDescent="0.2">
      <c r="A16" s="14" t="s">
        <v>66</v>
      </c>
      <c r="B16" s="2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26"/>
    </row>
    <row r="17" spans="1:17" x14ac:dyDescent="0.2">
      <c r="A17" s="11" t="s">
        <v>67</v>
      </c>
      <c r="B17" s="18">
        <f>Transactions!B58</f>
        <v>0</v>
      </c>
      <c r="C17" s="5">
        <f>Transactions!C58</f>
        <v>0</v>
      </c>
      <c r="D17" s="5">
        <f>Transactions!D58</f>
        <v>0</v>
      </c>
      <c r="E17" s="5">
        <f>Transactions!E58</f>
        <v>0</v>
      </c>
      <c r="F17" s="5">
        <f>Transactions!F58</f>
        <v>0</v>
      </c>
      <c r="G17" s="5">
        <f>Transactions!G58</f>
        <v>0</v>
      </c>
      <c r="H17" s="5">
        <f>Transactions!H58</f>
        <v>0</v>
      </c>
      <c r="I17" s="5">
        <f>Transactions!I58</f>
        <v>0</v>
      </c>
      <c r="J17" s="5">
        <f>Transactions!J58</f>
        <v>0</v>
      </c>
      <c r="K17" s="5">
        <f>Transactions!K58</f>
        <v>0</v>
      </c>
      <c r="L17" s="5">
        <f>Transactions!L58</f>
        <v>0</v>
      </c>
      <c r="M17" s="5">
        <f>Transactions!M58</f>
        <v>0</v>
      </c>
      <c r="N17" s="24">
        <f>SUM(B17:M17)</f>
        <v>0</v>
      </c>
    </row>
    <row r="18" spans="1:17" x14ac:dyDescent="0.2">
      <c r="A18" s="12" t="s">
        <v>68</v>
      </c>
      <c r="B18" s="19">
        <f>Transactions!B62</f>
        <v>0</v>
      </c>
      <c r="C18">
        <f>Transactions!C62</f>
        <v>0</v>
      </c>
      <c r="D18">
        <f>Transactions!D62</f>
        <v>0</v>
      </c>
      <c r="E18">
        <f>Transactions!E62</f>
        <v>0</v>
      </c>
      <c r="F18">
        <f>Transactions!F62</f>
        <v>0</v>
      </c>
      <c r="G18">
        <f>Transactions!G62</f>
        <v>0</v>
      </c>
      <c r="H18">
        <f>Transactions!H62</f>
        <v>0</v>
      </c>
      <c r="I18">
        <f>Transactions!I62</f>
        <v>0</v>
      </c>
      <c r="J18">
        <f>Transactions!J62</f>
        <v>0</v>
      </c>
      <c r="K18">
        <f>Transactions!K62</f>
        <v>0</v>
      </c>
      <c r="L18">
        <f>Transactions!L62</f>
        <v>0</v>
      </c>
      <c r="M18">
        <f>Transactions!M62</f>
        <v>0</v>
      </c>
      <c r="N18" s="25">
        <f>SUM(B18:M18)</f>
        <v>0</v>
      </c>
    </row>
    <row r="19" spans="1:17" x14ac:dyDescent="0.2">
      <c r="A19" s="12" t="s">
        <v>69</v>
      </c>
      <c r="B19" s="19">
        <f>B14-B17-B18</f>
        <v>0</v>
      </c>
      <c r="C19">
        <f t="shared" ref="C19:M19" si="2">C14-C17-C18</f>
        <v>0</v>
      </c>
      <c r="D19">
        <f t="shared" si="2"/>
        <v>0</v>
      </c>
      <c r="E19">
        <f t="shared" si="2"/>
        <v>0</v>
      </c>
      <c r="F19">
        <f t="shared" si="2"/>
        <v>0</v>
      </c>
      <c r="G19">
        <f t="shared" si="2"/>
        <v>0</v>
      </c>
      <c r="H19">
        <f t="shared" si="2"/>
        <v>0</v>
      </c>
      <c r="I19">
        <f t="shared" si="2"/>
        <v>0</v>
      </c>
      <c r="J19">
        <f t="shared" si="2"/>
        <v>0</v>
      </c>
      <c r="K19">
        <f t="shared" si="2"/>
        <v>0</v>
      </c>
      <c r="L19">
        <f t="shared" si="2"/>
        <v>0</v>
      </c>
      <c r="M19">
        <f t="shared" si="2"/>
        <v>0</v>
      </c>
      <c r="N19" s="25">
        <f>SUM(B19:M19)</f>
        <v>0</v>
      </c>
    </row>
    <row r="20" spans="1:17" x14ac:dyDescent="0.2">
      <c r="A20" s="15" t="s">
        <v>70</v>
      </c>
      <c r="B20" s="22">
        <f>SUM(B17:B19)</f>
        <v>0</v>
      </c>
      <c r="C20" s="1">
        <f t="shared" ref="C20:M20" si="3">SUM(C17:C19)</f>
        <v>0</v>
      </c>
      <c r="D20" s="1">
        <f t="shared" si="3"/>
        <v>0</v>
      </c>
      <c r="E20" s="1">
        <f t="shared" si="3"/>
        <v>0</v>
      </c>
      <c r="F20" s="1">
        <f t="shared" si="3"/>
        <v>0</v>
      </c>
      <c r="G20" s="1">
        <f t="shared" si="3"/>
        <v>0</v>
      </c>
      <c r="H20" s="1">
        <f t="shared" si="3"/>
        <v>0</v>
      </c>
      <c r="I20" s="1">
        <f t="shared" si="3"/>
        <v>0</v>
      </c>
      <c r="J20" s="1">
        <f t="shared" si="3"/>
        <v>0</v>
      </c>
      <c r="K20" s="1">
        <f t="shared" si="3"/>
        <v>0</v>
      </c>
      <c r="L20" s="1">
        <f t="shared" si="3"/>
        <v>0</v>
      </c>
      <c r="M20" s="1">
        <f t="shared" si="3"/>
        <v>0</v>
      </c>
      <c r="N20" s="25">
        <f>SUM(B20:M20)</f>
        <v>0</v>
      </c>
    </row>
    <row r="21" spans="1:17" x14ac:dyDescent="0.2">
      <c r="A21" s="12"/>
      <c r="B21" s="19"/>
      <c r="N21" s="25"/>
    </row>
    <row r="22" spans="1:17" s="2" customFormat="1" x14ac:dyDescent="0.2">
      <c r="A22" s="12" t="s">
        <v>71</v>
      </c>
      <c r="B22" s="22" t="e">
        <f>Transactions!B28/(1-(Transactions!B12/Transactions!B7))</f>
        <v>#DIV/0!</v>
      </c>
      <c r="C22" s="1" t="e">
        <f>Transactions!C28/(1-(Transactions!C12/Transactions!C7))</f>
        <v>#DIV/0!</v>
      </c>
      <c r="D22" s="1" t="e">
        <f>Transactions!D28/(1-(Transactions!D12/Transactions!D7))</f>
        <v>#DIV/0!</v>
      </c>
      <c r="E22" s="1" t="e">
        <f>Transactions!E28/(1-(Transactions!E12/Transactions!E7))</f>
        <v>#DIV/0!</v>
      </c>
      <c r="F22" s="1" t="e">
        <f>Transactions!F28/(1-(Transactions!F12/Transactions!F7))</f>
        <v>#DIV/0!</v>
      </c>
      <c r="G22" s="1" t="e">
        <f>Transactions!G28/(1-(Transactions!G12/Transactions!G7))</f>
        <v>#DIV/0!</v>
      </c>
      <c r="H22" s="1" t="e">
        <f>Transactions!H28/(1-(Transactions!H12/Transactions!H7))</f>
        <v>#DIV/0!</v>
      </c>
      <c r="I22" s="1" t="e">
        <f>Transactions!I28/(1-(Transactions!I12/Transactions!I7))</f>
        <v>#DIV/0!</v>
      </c>
      <c r="J22" s="1" t="e">
        <f>Transactions!J28/(1-(Transactions!J12/Transactions!J7))</f>
        <v>#DIV/0!</v>
      </c>
      <c r="K22" s="1" t="e">
        <f>Transactions!K28/(1-(Transactions!K12/Transactions!K7))</f>
        <v>#DIV/0!</v>
      </c>
      <c r="L22" s="1" t="e">
        <f>Transactions!L28/(1-(Transactions!L12/Transactions!L7))</f>
        <v>#DIV/0!</v>
      </c>
      <c r="M22" s="1" t="e">
        <f>Transactions!M28/(1-(Transactions!M12/Transactions!M7))</f>
        <v>#DIV/0!</v>
      </c>
      <c r="N22" s="25" t="e">
        <f>Transactions!N28/(1-(Transactions!N12/Transactions!N7))</f>
        <v>#DIV/0!</v>
      </c>
      <c r="O22"/>
      <c r="P22"/>
      <c r="Q22"/>
    </row>
    <row r="23" spans="1:17" x14ac:dyDescent="0.2">
      <c r="A23" s="12"/>
      <c r="B23" s="19"/>
      <c r="N23" s="25"/>
    </row>
    <row r="24" spans="1:17" x14ac:dyDescent="0.2">
      <c r="A24" s="14" t="s">
        <v>72</v>
      </c>
      <c r="B24" s="2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26"/>
    </row>
    <row r="25" spans="1:17" x14ac:dyDescent="0.2">
      <c r="A25" s="11" t="s">
        <v>73</v>
      </c>
      <c r="B25" s="18">
        <f>B8+Transactions!B31+Transactions!B55-Transactions!B43</f>
        <v>0</v>
      </c>
      <c r="C25" s="5">
        <f>C8+Transactions!C31+Transactions!C55-Transactions!C43</f>
        <v>0</v>
      </c>
      <c r="D25" s="5">
        <f>D8+Transactions!D31+Transactions!D55-Transactions!D43</f>
        <v>0</v>
      </c>
      <c r="E25" s="5">
        <f>E8+Transactions!E31+Transactions!E55-Transactions!E43</f>
        <v>0</v>
      </c>
      <c r="F25" s="5">
        <f>F8+Transactions!F31+Transactions!F55-Transactions!F43</f>
        <v>0</v>
      </c>
      <c r="G25" s="5">
        <f>G8+Transactions!G31+Transactions!G55-Transactions!G43</f>
        <v>0</v>
      </c>
      <c r="H25" s="5">
        <f>H8+Transactions!H31+Transactions!H55-Transactions!H43</f>
        <v>0</v>
      </c>
      <c r="I25" s="5">
        <f>I8+Transactions!I31+Transactions!I55-Transactions!I43</f>
        <v>0</v>
      </c>
      <c r="J25" s="5">
        <f>J8+Transactions!J31+Transactions!J55-Transactions!J43</f>
        <v>0</v>
      </c>
      <c r="K25" s="5">
        <f>K8+Transactions!K31+Transactions!K55-Transactions!K43</f>
        <v>0</v>
      </c>
      <c r="L25" s="5">
        <f>L8+Transactions!L31+Transactions!L55-Transactions!L43</f>
        <v>0</v>
      </c>
      <c r="M25" s="5">
        <f>M8+Transactions!M31+Transactions!M55-Transactions!M43</f>
        <v>0</v>
      </c>
      <c r="N25" s="24">
        <f>SUM(B25:M25)</f>
        <v>0</v>
      </c>
    </row>
    <row r="26" spans="1:17" x14ac:dyDescent="0.2">
      <c r="A26" s="12"/>
      <c r="B26" s="19"/>
      <c r="N26" s="25"/>
    </row>
    <row r="27" spans="1:17" x14ac:dyDescent="0.2">
      <c r="A27" s="14" t="s">
        <v>74</v>
      </c>
      <c r="B27" s="2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26"/>
    </row>
    <row r="28" spans="1:17" x14ac:dyDescent="0.2">
      <c r="A28" s="11" t="s">
        <v>76</v>
      </c>
      <c r="B28" s="18">
        <f>Transactions!B7</f>
        <v>0</v>
      </c>
      <c r="C28" s="5">
        <f>Transactions!C7</f>
        <v>0</v>
      </c>
      <c r="D28" s="5">
        <f>Transactions!D7</f>
        <v>0</v>
      </c>
      <c r="E28" s="5">
        <f>Transactions!E7</f>
        <v>0</v>
      </c>
      <c r="F28" s="5">
        <f>Transactions!F7</f>
        <v>0</v>
      </c>
      <c r="G28" s="5">
        <f>Transactions!G7</f>
        <v>0</v>
      </c>
      <c r="H28" s="5">
        <f>Transactions!H7</f>
        <v>0</v>
      </c>
      <c r="I28" s="5">
        <f>Transactions!I7</f>
        <v>0</v>
      </c>
      <c r="J28" s="5">
        <f>Transactions!J7</f>
        <v>0</v>
      </c>
      <c r="K28" s="5">
        <f>Transactions!K7</f>
        <v>0</v>
      </c>
      <c r="L28" s="5">
        <f>Transactions!L7</f>
        <v>0</v>
      </c>
      <c r="M28" s="5">
        <f>Transactions!M7</f>
        <v>0</v>
      </c>
      <c r="N28" s="24">
        <f>SUM(B28:M28)</f>
        <v>0</v>
      </c>
    </row>
    <row r="29" spans="1:17" x14ac:dyDescent="0.2">
      <c r="A29" s="15" t="s">
        <v>78</v>
      </c>
      <c r="B29" s="19"/>
      <c r="N29" s="25"/>
    </row>
    <row r="30" spans="1:17" x14ac:dyDescent="0.2">
      <c r="A30" s="12" t="s">
        <v>77</v>
      </c>
      <c r="B30" s="19">
        <f>Transactions!B12</f>
        <v>0</v>
      </c>
      <c r="C30">
        <f>Transactions!C12</f>
        <v>0</v>
      </c>
      <c r="D30">
        <f>Transactions!D12</f>
        <v>0</v>
      </c>
      <c r="E30">
        <f>Transactions!E12</f>
        <v>0</v>
      </c>
      <c r="F30">
        <f>Transactions!F12</f>
        <v>0</v>
      </c>
      <c r="G30">
        <f>Transactions!G12</f>
        <v>0</v>
      </c>
      <c r="H30">
        <f>Transactions!H12</f>
        <v>0</v>
      </c>
      <c r="I30">
        <f>Transactions!I12</f>
        <v>0</v>
      </c>
      <c r="J30">
        <f>Transactions!J12</f>
        <v>0</v>
      </c>
      <c r="K30">
        <f>Transactions!K12</f>
        <v>0</v>
      </c>
      <c r="L30">
        <f>Transactions!L12</f>
        <v>0</v>
      </c>
      <c r="M30">
        <f>Transactions!M12</f>
        <v>0</v>
      </c>
      <c r="N30" s="25">
        <f>SUM(B30:M30)</f>
        <v>0</v>
      </c>
    </row>
    <row r="31" spans="1:17" x14ac:dyDescent="0.2">
      <c r="A31" s="15" t="s">
        <v>79</v>
      </c>
      <c r="B31" s="22">
        <f>B28-B30</f>
        <v>0</v>
      </c>
      <c r="C31" s="1">
        <f t="shared" ref="C31:M31" si="4">C28-C30</f>
        <v>0</v>
      </c>
      <c r="D31" s="1">
        <f t="shared" si="4"/>
        <v>0</v>
      </c>
      <c r="E31" s="1">
        <f t="shared" si="4"/>
        <v>0</v>
      </c>
      <c r="F31" s="1">
        <f t="shared" si="4"/>
        <v>0</v>
      </c>
      <c r="G31" s="1">
        <f t="shared" si="4"/>
        <v>0</v>
      </c>
      <c r="H31" s="1">
        <f t="shared" si="4"/>
        <v>0</v>
      </c>
      <c r="I31" s="1">
        <f t="shared" si="4"/>
        <v>0</v>
      </c>
      <c r="J31" s="1">
        <f t="shared" si="4"/>
        <v>0</v>
      </c>
      <c r="K31" s="1">
        <f t="shared" si="4"/>
        <v>0</v>
      </c>
      <c r="L31" s="1">
        <f t="shared" si="4"/>
        <v>0</v>
      </c>
      <c r="M31" s="1">
        <f t="shared" si="4"/>
        <v>0</v>
      </c>
      <c r="N31" s="25">
        <f>SUM(B31:M31)</f>
        <v>0</v>
      </c>
    </row>
    <row r="32" spans="1:17" x14ac:dyDescent="0.2">
      <c r="A32" s="15" t="s">
        <v>78</v>
      </c>
      <c r="B32" s="19"/>
      <c r="N32" s="25"/>
    </row>
    <row r="33" spans="1:14" x14ac:dyDescent="0.2">
      <c r="A33" s="12" t="s">
        <v>80</v>
      </c>
      <c r="B33" s="19">
        <f>Transactions!B28+Transactions!B31</f>
        <v>0</v>
      </c>
      <c r="C33">
        <f>Transactions!C28+Transactions!C31</f>
        <v>0</v>
      </c>
      <c r="D33">
        <f>Transactions!D28+Transactions!D31</f>
        <v>0</v>
      </c>
      <c r="E33">
        <f>Transactions!E28+Transactions!E31</f>
        <v>0</v>
      </c>
      <c r="F33">
        <f>Transactions!F28+Transactions!F31</f>
        <v>0</v>
      </c>
      <c r="G33">
        <f>Transactions!G28+Transactions!G31</f>
        <v>0</v>
      </c>
      <c r="H33">
        <f>Transactions!H28+Transactions!H31</f>
        <v>0</v>
      </c>
      <c r="I33">
        <f>Transactions!I28+Transactions!I31</f>
        <v>0</v>
      </c>
      <c r="J33">
        <f>Transactions!J28+Transactions!J31</f>
        <v>0</v>
      </c>
      <c r="K33">
        <f>Transactions!K28+Transactions!K31</f>
        <v>0</v>
      </c>
      <c r="L33">
        <f>Transactions!L28+Transactions!L31</f>
        <v>0</v>
      </c>
      <c r="M33">
        <f>Transactions!M28+Transactions!M31</f>
        <v>0</v>
      </c>
      <c r="N33" s="25">
        <f>SUM(B33:M33)</f>
        <v>0</v>
      </c>
    </row>
    <row r="34" spans="1:14" x14ac:dyDescent="0.2">
      <c r="A34" s="15" t="s">
        <v>81</v>
      </c>
      <c r="B34" s="22">
        <f>B31-B33</f>
        <v>0</v>
      </c>
      <c r="C34" s="1">
        <f t="shared" ref="C34:M34" si="5">C31-C33</f>
        <v>0</v>
      </c>
      <c r="D34" s="1">
        <f t="shared" si="5"/>
        <v>0</v>
      </c>
      <c r="E34" s="1">
        <f t="shared" si="5"/>
        <v>0</v>
      </c>
      <c r="F34" s="1">
        <f t="shared" si="5"/>
        <v>0</v>
      </c>
      <c r="G34" s="1">
        <f t="shared" si="5"/>
        <v>0</v>
      </c>
      <c r="H34" s="1">
        <f t="shared" si="5"/>
        <v>0</v>
      </c>
      <c r="I34" s="1">
        <f t="shared" si="5"/>
        <v>0</v>
      </c>
      <c r="J34" s="1">
        <f t="shared" si="5"/>
        <v>0</v>
      </c>
      <c r="K34" s="1">
        <f t="shared" si="5"/>
        <v>0</v>
      </c>
      <c r="L34" s="1">
        <f t="shared" si="5"/>
        <v>0</v>
      </c>
      <c r="M34" s="1">
        <f t="shared" si="5"/>
        <v>0</v>
      </c>
      <c r="N34" s="25">
        <f>SUM(B34:M34)</f>
        <v>0</v>
      </c>
    </row>
    <row r="35" spans="1:14" x14ac:dyDescent="0.2">
      <c r="A35" s="15" t="s">
        <v>78</v>
      </c>
      <c r="B35" s="22"/>
      <c r="N35" s="25"/>
    </row>
    <row r="36" spans="1:14" x14ac:dyDescent="0.2">
      <c r="A36" s="12" t="s">
        <v>82</v>
      </c>
      <c r="B36" s="19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25">
        <f>SUM(B36:M36)</f>
        <v>0</v>
      </c>
    </row>
    <row r="37" spans="1:14" x14ac:dyDescent="0.2">
      <c r="A37" s="15" t="s">
        <v>75</v>
      </c>
      <c r="B37" s="22">
        <f>B34-B36</f>
        <v>0</v>
      </c>
      <c r="C37" s="1">
        <f t="shared" ref="C37:M37" si="6">C34-C36</f>
        <v>0</v>
      </c>
      <c r="D37" s="1">
        <f t="shared" si="6"/>
        <v>0</v>
      </c>
      <c r="E37" s="1">
        <f t="shared" si="6"/>
        <v>0</v>
      </c>
      <c r="F37" s="1">
        <f t="shared" si="6"/>
        <v>0</v>
      </c>
      <c r="G37" s="1">
        <f t="shared" si="6"/>
        <v>0</v>
      </c>
      <c r="H37" s="1">
        <f t="shared" si="6"/>
        <v>0</v>
      </c>
      <c r="I37" s="1">
        <f t="shared" si="6"/>
        <v>0</v>
      </c>
      <c r="J37" s="1">
        <f t="shared" si="6"/>
        <v>0</v>
      </c>
      <c r="K37" s="1">
        <f t="shared" si="6"/>
        <v>0</v>
      </c>
      <c r="L37" s="1">
        <f t="shared" si="6"/>
        <v>0</v>
      </c>
      <c r="M37" s="1">
        <f t="shared" si="6"/>
        <v>0</v>
      </c>
      <c r="N37" s="25">
        <f>SUM(B37:M37)</f>
        <v>0</v>
      </c>
    </row>
    <row r="38" spans="1:14" x14ac:dyDescent="0.2">
      <c r="A38" s="12"/>
      <c r="B38" s="19"/>
      <c r="N38" s="25"/>
    </row>
    <row r="39" spans="1:14" x14ac:dyDescent="0.2">
      <c r="A39" s="14" t="s">
        <v>83</v>
      </c>
      <c r="B39" s="21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26"/>
    </row>
    <row r="40" spans="1:14" x14ac:dyDescent="0.2">
      <c r="A40" s="16" t="s">
        <v>87</v>
      </c>
      <c r="B40" s="18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24"/>
    </row>
    <row r="41" spans="1:14" x14ac:dyDescent="0.2">
      <c r="A41" s="12" t="s">
        <v>27</v>
      </c>
      <c r="B41" s="19">
        <f>Transactions!B36+B25</f>
        <v>0</v>
      </c>
      <c r="C41">
        <f>Transactions!C36+C25</f>
        <v>0</v>
      </c>
      <c r="D41">
        <f>Transactions!D36+D25</f>
        <v>0</v>
      </c>
      <c r="E41">
        <f>Transactions!E36+E25</f>
        <v>0</v>
      </c>
      <c r="F41">
        <f>Transactions!F36+F25</f>
        <v>0</v>
      </c>
      <c r="G41">
        <f>Transactions!G36+G25</f>
        <v>0</v>
      </c>
      <c r="H41">
        <f>Transactions!H36+H25</f>
        <v>0</v>
      </c>
      <c r="I41">
        <f>Transactions!I36+I25</f>
        <v>0</v>
      </c>
      <c r="J41">
        <f>Transactions!J36+J25</f>
        <v>0</v>
      </c>
      <c r="K41">
        <f>Transactions!K36+K25</f>
        <v>0</v>
      </c>
      <c r="L41">
        <f>Transactions!L36+L25</f>
        <v>0</v>
      </c>
      <c r="M41">
        <f>Transactions!M36+M25</f>
        <v>0</v>
      </c>
      <c r="N41" s="25">
        <f>SUM(B41:M41)</f>
        <v>0</v>
      </c>
    </row>
    <row r="42" spans="1:14" x14ac:dyDescent="0.2">
      <c r="A42" s="12" t="s">
        <v>84</v>
      </c>
      <c r="B42" s="19">
        <f>Transactions!B43</f>
        <v>0</v>
      </c>
      <c r="C42">
        <f>Transactions!C43</f>
        <v>0</v>
      </c>
      <c r="D42">
        <f>Transactions!D43</f>
        <v>0</v>
      </c>
      <c r="E42">
        <f>Transactions!E43</f>
        <v>0</v>
      </c>
      <c r="F42">
        <f>Transactions!F43</f>
        <v>0</v>
      </c>
      <c r="G42">
        <f>Transactions!G43</f>
        <v>0</v>
      </c>
      <c r="H42">
        <f>Transactions!H43</f>
        <v>0</v>
      </c>
      <c r="I42">
        <f>Transactions!I43</f>
        <v>0</v>
      </c>
      <c r="J42">
        <f>Transactions!J43</f>
        <v>0</v>
      </c>
      <c r="K42">
        <f>Transactions!K43</f>
        <v>0</v>
      </c>
      <c r="L42">
        <f>Transactions!L43</f>
        <v>0</v>
      </c>
      <c r="M42">
        <f>Transactions!M43</f>
        <v>0</v>
      </c>
      <c r="N42" s="25">
        <f>SUM(B42:M42)</f>
        <v>0</v>
      </c>
    </row>
    <row r="43" spans="1:14" x14ac:dyDescent="0.2">
      <c r="A43" s="12" t="s">
        <v>85</v>
      </c>
      <c r="B43" s="19">
        <f>Transactions!B46</f>
        <v>0</v>
      </c>
      <c r="N43" s="25">
        <f>SUM(B43:M43)</f>
        <v>0</v>
      </c>
    </row>
    <row r="44" spans="1:14" x14ac:dyDescent="0.2">
      <c r="A44" s="15" t="s">
        <v>86</v>
      </c>
      <c r="B44" s="22">
        <f>SUM(B41:B43)</f>
        <v>0</v>
      </c>
      <c r="C44" s="1">
        <f t="shared" ref="C44:M44" si="7">SUM(C41:C43)</f>
        <v>0</v>
      </c>
      <c r="D44" s="1">
        <f t="shared" si="7"/>
        <v>0</v>
      </c>
      <c r="E44" s="1">
        <f t="shared" si="7"/>
        <v>0</v>
      </c>
      <c r="F44" s="1">
        <f t="shared" si="7"/>
        <v>0</v>
      </c>
      <c r="G44" s="1">
        <f t="shared" si="7"/>
        <v>0</v>
      </c>
      <c r="H44" s="1">
        <f t="shared" si="7"/>
        <v>0</v>
      </c>
      <c r="I44" s="1">
        <f t="shared" si="7"/>
        <v>0</v>
      </c>
      <c r="J44" s="1">
        <f t="shared" si="7"/>
        <v>0</v>
      </c>
      <c r="K44" s="1">
        <f t="shared" si="7"/>
        <v>0</v>
      </c>
      <c r="L44" s="1">
        <f t="shared" si="7"/>
        <v>0</v>
      </c>
      <c r="M44" s="1">
        <f t="shared" si="7"/>
        <v>0</v>
      </c>
      <c r="N44" s="25">
        <f>SUM(B44:M44)</f>
        <v>0</v>
      </c>
    </row>
    <row r="45" spans="1:14" x14ac:dyDescent="0.2">
      <c r="A45" s="12"/>
      <c r="B45" s="19"/>
      <c r="N45" s="25"/>
    </row>
    <row r="46" spans="1:14" x14ac:dyDescent="0.2">
      <c r="A46" s="14" t="s">
        <v>90</v>
      </c>
      <c r="B46" s="21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26"/>
    </row>
    <row r="47" spans="1:14" x14ac:dyDescent="0.2">
      <c r="A47" s="11" t="s">
        <v>88</v>
      </c>
      <c r="B47" s="18">
        <f>Transactions!B65+Transactions!B66+Transactions!B67</f>
        <v>0</v>
      </c>
      <c r="C47" s="5">
        <f>Transactions!C65+Transactions!C66+Transactions!C67</f>
        <v>0</v>
      </c>
      <c r="D47" s="5">
        <f>Transactions!D65+Transactions!D66+Transactions!D67</f>
        <v>0</v>
      </c>
      <c r="E47" s="5">
        <f>Transactions!E65+Transactions!E66+Transactions!E67</f>
        <v>0</v>
      </c>
      <c r="F47" s="5">
        <f>Transactions!F65+Transactions!F66+Transactions!F67</f>
        <v>0</v>
      </c>
      <c r="G47" s="5">
        <f>Transactions!G65+Transactions!G66+Transactions!G67</f>
        <v>0</v>
      </c>
      <c r="H47" s="5">
        <f>Transactions!H65+Transactions!H66+Transactions!H67</f>
        <v>0</v>
      </c>
      <c r="I47" s="5">
        <f>Transactions!I65+Transactions!I66+Transactions!I67</f>
        <v>0</v>
      </c>
      <c r="J47" s="5">
        <f>Transactions!J65+Transactions!J66+Transactions!J67</f>
        <v>0</v>
      </c>
      <c r="K47" s="5">
        <f>Transactions!K65+Transactions!K66+Transactions!K67</f>
        <v>0</v>
      </c>
      <c r="L47" s="5">
        <f>Transactions!L65+Transactions!L66+Transactions!L67</f>
        <v>0</v>
      </c>
      <c r="M47" s="5">
        <f>Transactions!M65+Transactions!M66+Transactions!M67</f>
        <v>0</v>
      </c>
      <c r="N47" s="24">
        <f>SUM(B47:M47)</f>
        <v>0</v>
      </c>
    </row>
    <row r="48" spans="1:14" x14ac:dyDescent="0.2">
      <c r="A48" s="12" t="s">
        <v>52</v>
      </c>
      <c r="B48" s="19">
        <f>Transactions!B68</f>
        <v>0</v>
      </c>
      <c r="C48">
        <f>Transactions!C68</f>
        <v>0</v>
      </c>
      <c r="D48">
        <f>Transactions!D68</f>
        <v>0</v>
      </c>
      <c r="E48">
        <f>Transactions!E68</f>
        <v>0</v>
      </c>
      <c r="F48">
        <f>Transactions!F68</f>
        <v>0</v>
      </c>
      <c r="G48">
        <f>Transactions!G68</f>
        <v>0</v>
      </c>
      <c r="H48">
        <f>Transactions!H68</f>
        <v>0</v>
      </c>
      <c r="I48">
        <f>Transactions!I68</f>
        <v>0</v>
      </c>
      <c r="J48">
        <f>Transactions!J68</f>
        <v>0</v>
      </c>
      <c r="K48">
        <f>Transactions!K68</f>
        <v>0</v>
      </c>
      <c r="L48">
        <f>Transactions!L68</f>
        <v>0</v>
      </c>
      <c r="M48">
        <f>Transactions!M68</f>
        <v>0</v>
      </c>
      <c r="N48" s="25">
        <f>SUM(B48:M48)</f>
        <v>0</v>
      </c>
    </row>
    <row r="49" spans="1:14" x14ac:dyDescent="0.2">
      <c r="A49" s="12" t="s">
        <v>89</v>
      </c>
      <c r="B49" s="19">
        <f>Transactions!B69+Transactions!B70</f>
        <v>0</v>
      </c>
      <c r="C49">
        <f>Transactions!C69+Transactions!C70</f>
        <v>0</v>
      </c>
      <c r="D49">
        <f>Transactions!D69+Transactions!D70</f>
        <v>0</v>
      </c>
      <c r="E49">
        <f>Transactions!E69+Transactions!E70</f>
        <v>0</v>
      </c>
      <c r="F49">
        <f>Transactions!F69+Transactions!F70</f>
        <v>0</v>
      </c>
      <c r="G49">
        <f>Transactions!G69+Transactions!G70</f>
        <v>0</v>
      </c>
      <c r="H49">
        <f>Transactions!H69+Transactions!H70</f>
        <v>0</v>
      </c>
      <c r="I49">
        <f>Transactions!I69+Transactions!I70</f>
        <v>0</v>
      </c>
      <c r="J49">
        <f>Transactions!J69+Transactions!J70</f>
        <v>0</v>
      </c>
      <c r="K49">
        <f>Transactions!K69+Transactions!K70</f>
        <v>0</v>
      </c>
      <c r="L49">
        <f>Transactions!L69+Transactions!L70</f>
        <v>0</v>
      </c>
      <c r="M49">
        <f>Transactions!M69+Transactions!M70</f>
        <v>0</v>
      </c>
      <c r="N49" s="25">
        <f>SUM(B49:M49)</f>
        <v>0</v>
      </c>
    </row>
    <row r="50" spans="1:14" x14ac:dyDescent="0.2">
      <c r="A50" s="15" t="s">
        <v>55</v>
      </c>
      <c r="B50" s="19">
        <f>SUM(B47:B49)</f>
        <v>0</v>
      </c>
      <c r="C50">
        <f t="shared" ref="C50:M50" si="8">SUM(C47:C49)</f>
        <v>0</v>
      </c>
      <c r="D50">
        <f t="shared" si="8"/>
        <v>0</v>
      </c>
      <c r="E50">
        <f t="shared" si="8"/>
        <v>0</v>
      </c>
      <c r="F50">
        <f t="shared" si="8"/>
        <v>0</v>
      </c>
      <c r="G50">
        <f t="shared" si="8"/>
        <v>0</v>
      </c>
      <c r="H50">
        <f t="shared" si="8"/>
        <v>0</v>
      </c>
      <c r="I50">
        <f t="shared" si="8"/>
        <v>0</v>
      </c>
      <c r="J50">
        <f t="shared" si="8"/>
        <v>0</v>
      </c>
      <c r="K50">
        <f t="shared" si="8"/>
        <v>0</v>
      </c>
      <c r="L50">
        <f t="shared" si="8"/>
        <v>0</v>
      </c>
      <c r="M50">
        <f t="shared" si="8"/>
        <v>0</v>
      </c>
      <c r="N50" s="25">
        <f>SUM(B50:M50)</f>
        <v>0</v>
      </c>
    </row>
    <row r="51" spans="1:14" x14ac:dyDescent="0.2">
      <c r="A51" s="15"/>
      <c r="B51" s="19"/>
      <c r="N51" s="25"/>
    </row>
    <row r="52" spans="1:14" x14ac:dyDescent="0.2">
      <c r="A52" s="15" t="s">
        <v>99</v>
      </c>
      <c r="B52" s="22">
        <f>B44+B50</f>
        <v>0</v>
      </c>
      <c r="C52" s="1">
        <f>C44+C50</f>
        <v>0</v>
      </c>
      <c r="D52" s="1">
        <f>D44+D50</f>
        <v>0</v>
      </c>
      <c r="E52" s="1">
        <f t="shared" ref="E52:M52" si="9">E44+E50</f>
        <v>0</v>
      </c>
      <c r="F52" s="1">
        <f t="shared" si="9"/>
        <v>0</v>
      </c>
      <c r="G52" s="1">
        <f t="shared" si="9"/>
        <v>0</v>
      </c>
      <c r="H52" s="1">
        <f t="shared" si="9"/>
        <v>0</v>
      </c>
      <c r="I52" s="1">
        <f t="shared" si="9"/>
        <v>0</v>
      </c>
      <c r="J52" s="1">
        <f t="shared" si="9"/>
        <v>0</v>
      </c>
      <c r="K52" s="1">
        <f t="shared" si="9"/>
        <v>0</v>
      </c>
      <c r="L52" s="1">
        <f t="shared" si="9"/>
        <v>0</v>
      </c>
      <c r="M52" s="1">
        <f t="shared" si="9"/>
        <v>0</v>
      </c>
      <c r="N52" s="25">
        <f>SUM(B52:M52)</f>
        <v>0</v>
      </c>
    </row>
    <row r="53" spans="1:14" x14ac:dyDescent="0.2">
      <c r="A53" s="12"/>
      <c r="B53" s="19"/>
      <c r="N53" s="25"/>
    </row>
    <row r="54" spans="1:14" x14ac:dyDescent="0.2">
      <c r="A54" s="14" t="s">
        <v>91</v>
      </c>
      <c r="B54" s="21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26"/>
    </row>
    <row r="55" spans="1:14" x14ac:dyDescent="0.2">
      <c r="A55" s="16" t="s">
        <v>97</v>
      </c>
      <c r="B55" s="18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24"/>
    </row>
    <row r="56" spans="1:14" x14ac:dyDescent="0.2">
      <c r="A56" s="12" t="s">
        <v>39</v>
      </c>
      <c r="B56" s="19">
        <f>Transactions!B53</f>
        <v>0</v>
      </c>
      <c r="C56">
        <f>Transactions!C53</f>
        <v>0</v>
      </c>
      <c r="D56">
        <f>Transactions!D53</f>
        <v>0</v>
      </c>
      <c r="E56">
        <f>Transactions!E53</f>
        <v>0</v>
      </c>
      <c r="F56">
        <f>Transactions!F53</f>
        <v>0</v>
      </c>
      <c r="G56">
        <f>Transactions!G53</f>
        <v>0</v>
      </c>
      <c r="H56">
        <f>Transactions!H53</f>
        <v>0</v>
      </c>
      <c r="I56">
        <f>Transactions!I53</f>
        <v>0</v>
      </c>
      <c r="J56">
        <f>Transactions!J53</f>
        <v>0</v>
      </c>
      <c r="K56">
        <f>Transactions!K53</f>
        <v>0</v>
      </c>
      <c r="L56">
        <f>Transactions!L53</f>
        <v>0</v>
      </c>
      <c r="M56">
        <f>Transactions!M53</f>
        <v>0</v>
      </c>
      <c r="N56" s="25">
        <f>SUM(B56:M56)</f>
        <v>0</v>
      </c>
    </row>
    <row r="57" spans="1:14" x14ac:dyDescent="0.2">
      <c r="A57" s="12" t="s">
        <v>40</v>
      </c>
      <c r="B57" s="19">
        <f>Transactions!B54</f>
        <v>0</v>
      </c>
      <c r="C57">
        <f>Transactions!C54</f>
        <v>0</v>
      </c>
      <c r="D57">
        <f>Transactions!D54</f>
        <v>0</v>
      </c>
      <c r="E57">
        <f>Transactions!E54</f>
        <v>0</v>
      </c>
      <c r="F57">
        <f>Transactions!F54</f>
        <v>0</v>
      </c>
      <c r="G57">
        <f>Transactions!G54</f>
        <v>0</v>
      </c>
      <c r="H57">
        <f>Transactions!H54</f>
        <v>0</v>
      </c>
      <c r="I57">
        <f>Transactions!I54</f>
        <v>0</v>
      </c>
      <c r="J57">
        <f>Transactions!J54</f>
        <v>0</v>
      </c>
      <c r="K57">
        <f>Transactions!K54</f>
        <v>0</v>
      </c>
      <c r="L57">
        <f>Transactions!L54</f>
        <v>0</v>
      </c>
      <c r="M57">
        <f>Transactions!M54</f>
        <v>0</v>
      </c>
      <c r="N57" s="25">
        <f>SUM(B57:M57)</f>
        <v>0</v>
      </c>
    </row>
    <row r="58" spans="1:14" x14ac:dyDescent="0.2">
      <c r="A58" s="12" t="s">
        <v>92</v>
      </c>
      <c r="B58" s="19">
        <f>Transactions!B55</f>
        <v>0</v>
      </c>
      <c r="C58">
        <f>Transactions!C55</f>
        <v>0</v>
      </c>
      <c r="D58">
        <f>Transactions!D55</f>
        <v>0</v>
      </c>
      <c r="E58">
        <f>Transactions!E55</f>
        <v>0</v>
      </c>
      <c r="F58">
        <f>Transactions!F55</f>
        <v>0</v>
      </c>
      <c r="G58">
        <f>Transactions!G55</f>
        <v>0</v>
      </c>
      <c r="H58">
        <f>Transactions!H55</f>
        <v>0</v>
      </c>
      <c r="I58">
        <f>Transactions!I55</f>
        <v>0</v>
      </c>
      <c r="J58">
        <f>Transactions!J55</f>
        <v>0</v>
      </c>
      <c r="K58">
        <f>Transactions!K55</f>
        <v>0</v>
      </c>
      <c r="L58">
        <f>Transactions!L55</f>
        <v>0</v>
      </c>
      <c r="M58">
        <f>Transactions!M55</f>
        <v>0</v>
      </c>
      <c r="N58" s="25">
        <f>SUM(B58:M58)</f>
        <v>0</v>
      </c>
    </row>
    <row r="59" spans="1:14" x14ac:dyDescent="0.2">
      <c r="A59" s="12" t="s">
        <v>42</v>
      </c>
      <c r="B59" s="19">
        <f>Transactions!B56</f>
        <v>0</v>
      </c>
      <c r="C59">
        <f>Transactions!C56</f>
        <v>0</v>
      </c>
      <c r="D59">
        <f>Transactions!D56</f>
        <v>0</v>
      </c>
      <c r="E59">
        <f>Transactions!E56</f>
        <v>0</v>
      </c>
      <c r="F59">
        <f>Transactions!F56</f>
        <v>0</v>
      </c>
      <c r="G59">
        <f>Transactions!G56</f>
        <v>0</v>
      </c>
      <c r="H59">
        <f>Transactions!H56</f>
        <v>0</v>
      </c>
      <c r="I59">
        <f>Transactions!I56</f>
        <v>0</v>
      </c>
      <c r="J59">
        <f>Transactions!J56</f>
        <v>0</v>
      </c>
      <c r="K59">
        <f>Transactions!K56</f>
        <v>0</v>
      </c>
      <c r="L59">
        <f>Transactions!L56</f>
        <v>0</v>
      </c>
      <c r="M59">
        <f>Transactions!M56</f>
        <v>0</v>
      </c>
      <c r="N59" s="25">
        <f>SUM(B59:M59)</f>
        <v>0</v>
      </c>
    </row>
    <row r="60" spans="1:14" x14ac:dyDescent="0.2">
      <c r="A60" s="15" t="s">
        <v>93</v>
      </c>
      <c r="B60" s="19">
        <f>SUM(B56:B59)</f>
        <v>0</v>
      </c>
      <c r="C60">
        <f t="shared" ref="C60:M60" si="10">SUM(C56:C59)</f>
        <v>0</v>
      </c>
      <c r="D60">
        <f t="shared" si="10"/>
        <v>0</v>
      </c>
      <c r="E60">
        <f t="shared" si="10"/>
        <v>0</v>
      </c>
      <c r="F60">
        <f t="shared" si="10"/>
        <v>0</v>
      </c>
      <c r="G60">
        <f t="shared" si="10"/>
        <v>0</v>
      </c>
      <c r="H60">
        <f t="shared" si="10"/>
        <v>0</v>
      </c>
      <c r="I60">
        <f t="shared" si="10"/>
        <v>0</v>
      </c>
      <c r="J60">
        <f t="shared" si="10"/>
        <v>0</v>
      </c>
      <c r="K60">
        <f t="shared" si="10"/>
        <v>0</v>
      </c>
      <c r="L60">
        <f t="shared" si="10"/>
        <v>0</v>
      </c>
      <c r="M60">
        <f t="shared" si="10"/>
        <v>0</v>
      </c>
      <c r="N60" s="25">
        <f>SUM(B60:M60)</f>
        <v>0</v>
      </c>
    </row>
    <row r="61" spans="1:14" x14ac:dyDescent="0.2">
      <c r="A61" s="12"/>
      <c r="B61" s="19"/>
      <c r="N61" s="25"/>
    </row>
    <row r="62" spans="1:14" x14ac:dyDescent="0.2">
      <c r="A62" s="14" t="s">
        <v>96</v>
      </c>
      <c r="B62" s="21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26"/>
    </row>
    <row r="63" spans="1:14" x14ac:dyDescent="0.2">
      <c r="A63" s="11" t="s">
        <v>94</v>
      </c>
      <c r="B63" s="18">
        <f>Transactions!B60</f>
        <v>0</v>
      </c>
      <c r="C63" s="5">
        <f>Transactions!C60</f>
        <v>0</v>
      </c>
      <c r="D63" s="5">
        <f>Transactions!D60</f>
        <v>0</v>
      </c>
      <c r="E63" s="5">
        <f>Transactions!E60</f>
        <v>0</v>
      </c>
      <c r="F63" s="5">
        <f>Transactions!F60</f>
        <v>0</v>
      </c>
      <c r="G63" s="5">
        <f>Transactions!G60</f>
        <v>0</v>
      </c>
      <c r="H63" s="5">
        <f>Transactions!H60</f>
        <v>0</v>
      </c>
      <c r="I63" s="5">
        <f>Transactions!I60</f>
        <v>0</v>
      </c>
      <c r="J63" s="5">
        <f>Transactions!J60</f>
        <v>0</v>
      </c>
      <c r="K63" s="5">
        <f>Transactions!K60</f>
        <v>0</v>
      </c>
      <c r="L63" s="5">
        <f>Transactions!L60</f>
        <v>0</v>
      </c>
      <c r="M63" s="5">
        <f>Transactions!M60</f>
        <v>0</v>
      </c>
      <c r="N63" s="24">
        <f>SUM(B63:M63)</f>
        <v>0</v>
      </c>
    </row>
    <row r="64" spans="1:14" x14ac:dyDescent="0.2">
      <c r="A64" s="12" t="s">
        <v>137</v>
      </c>
      <c r="B64" s="19">
        <f>Transactions!B61</f>
        <v>0</v>
      </c>
      <c r="C64">
        <f>Transactions!C61</f>
        <v>0</v>
      </c>
      <c r="D64">
        <f>Transactions!D61</f>
        <v>0</v>
      </c>
      <c r="E64">
        <f>Transactions!E61</f>
        <v>0</v>
      </c>
      <c r="F64">
        <f>Transactions!F61</f>
        <v>0</v>
      </c>
      <c r="G64">
        <f>Transactions!G61</f>
        <v>0</v>
      </c>
      <c r="H64">
        <f>Transactions!H61</f>
        <v>0</v>
      </c>
      <c r="I64">
        <f>Transactions!I61</f>
        <v>0</v>
      </c>
      <c r="J64">
        <f>Transactions!J61</f>
        <v>0</v>
      </c>
      <c r="K64">
        <f>Transactions!K61</f>
        <v>0</v>
      </c>
      <c r="L64">
        <f>Transactions!L61</f>
        <v>0</v>
      </c>
      <c r="M64">
        <f>Transactions!M61</f>
        <v>0</v>
      </c>
      <c r="N64" s="25">
        <f>SUM(B64:M64)</f>
        <v>0</v>
      </c>
    </row>
    <row r="65" spans="1:14" x14ac:dyDescent="0.2">
      <c r="A65" s="15" t="s">
        <v>95</v>
      </c>
      <c r="B65" s="22">
        <f>B63+B64</f>
        <v>0</v>
      </c>
      <c r="C65" s="1">
        <f t="shared" ref="C65:M65" si="11">C63</f>
        <v>0</v>
      </c>
      <c r="D65" s="1">
        <f t="shared" si="11"/>
        <v>0</v>
      </c>
      <c r="E65" s="1">
        <f t="shared" si="11"/>
        <v>0</v>
      </c>
      <c r="F65" s="1">
        <f t="shared" si="11"/>
        <v>0</v>
      </c>
      <c r="G65" s="1">
        <f t="shared" si="11"/>
        <v>0</v>
      </c>
      <c r="H65" s="1">
        <f t="shared" si="11"/>
        <v>0</v>
      </c>
      <c r="I65" s="1">
        <f t="shared" si="11"/>
        <v>0</v>
      </c>
      <c r="J65" s="1">
        <f t="shared" si="11"/>
        <v>0</v>
      </c>
      <c r="K65" s="1">
        <f t="shared" si="11"/>
        <v>0</v>
      </c>
      <c r="L65" s="1">
        <f t="shared" si="11"/>
        <v>0</v>
      </c>
      <c r="M65" s="1">
        <f t="shared" si="11"/>
        <v>0</v>
      </c>
      <c r="N65" s="25">
        <f>SUM(B65:M65)</f>
        <v>0</v>
      </c>
    </row>
    <row r="66" spans="1:14" x14ac:dyDescent="0.2">
      <c r="A66" s="12"/>
      <c r="B66" s="19"/>
      <c r="N66" s="25"/>
    </row>
    <row r="67" spans="1:14" x14ac:dyDescent="0.2">
      <c r="A67" s="15" t="s">
        <v>98</v>
      </c>
      <c r="B67" s="22">
        <f>B65+B60</f>
        <v>0</v>
      </c>
      <c r="C67" s="1">
        <f t="shared" ref="C67:M67" si="12">C65+C60</f>
        <v>0</v>
      </c>
      <c r="D67" s="1">
        <f t="shared" si="12"/>
        <v>0</v>
      </c>
      <c r="E67" s="1">
        <f t="shared" si="12"/>
        <v>0</v>
      </c>
      <c r="F67" s="1">
        <f t="shared" si="12"/>
        <v>0</v>
      </c>
      <c r="G67" s="1">
        <f t="shared" si="12"/>
        <v>0</v>
      </c>
      <c r="H67" s="1">
        <f t="shared" si="12"/>
        <v>0</v>
      </c>
      <c r="I67" s="1">
        <f t="shared" si="12"/>
        <v>0</v>
      </c>
      <c r="J67" s="1">
        <f t="shared" si="12"/>
        <v>0</v>
      </c>
      <c r="K67" s="1">
        <f t="shared" si="12"/>
        <v>0</v>
      </c>
      <c r="L67" s="1">
        <f t="shared" si="12"/>
        <v>0</v>
      </c>
      <c r="M67" s="1">
        <f t="shared" si="12"/>
        <v>0</v>
      </c>
      <c r="N67" s="25">
        <f>SUM(B67:M67)</f>
        <v>0</v>
      </c>
    </row>
    <row r="68" spans="1:14" x14ac:dyDescent="0.2">
      <c r="A68" s="12"/>
      <c r="B68" s="19"/>
      <c r="N68" s="25"/>
    </row>
    <row r="69" spans="1:14" x14ac:dyDescent="0.2">
      <c r="A69" s="14" t="s">
        <v>69</v>
      </c>
      <c r="B69" s="21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26"/>
    </row>
    <row r="70" spans="1:14" x14ac:dyDescent="0.2">
      <c r="A70" s="11" t="s">
        <v>100</v>
      </c>
      <c r="B70" s="18">
        <f>B52-B67-B37</f>
        <v>0</v>
      </c>
      <c r="C70" s="5">
        <f t="shared" ref="C70:M70" si="13">C52-C67-C37</f>
        <v>0</v>
      </c>
      <c r="D70" s="5">
        <f t="shared" si="13"/>
        <v>0</v>
      </c>
      <c r="E70" s="5">
        <f t="shared" si="13"/>
        <v>0</v>
      </c>
      <c r="F70" s="5">
        <f t="shared" si="13"/>
        <v>0</v>
      </c>
      <c r="G70" s="5">
        <f t="shared" si="13"/>
        <v>0</v>
      </c>
      <c r="H70" s="5">
        <f t="shared" si="13"/>
        <v>0</v>
      </c>
      <c r="I70" s="5">
        <f t="shared" si="13"/>
        <v>0</v>
      </c>
      <c r="J70" s="5">
        <f t="shared" si="13"/>
        <v>0</v>
      </c>
      <c r="K70" s="5">
        <f t="shared" si="13"/>
        <v>0</v>
      </c>
      <c r="L70" s="5">
        <f t="shared" si="13"/>
        <v>0</v>
      </c>
      <c r="M70" s="5">
        <f t="shared" si="13"/>
        <v>0</v>
      </c>
      <c r="N70" s="24">
        <f>SUM(B70:M70)</f>
        <v>0</v>
      </c>
    </row>
    <row r="71" spans="1:14" x14ac:dyDescent="0.2">
      <c r="A71" s="12" t="s">
        <v>75</v>
      </c>
      <c r="B71" s="19">
        <f>B37</f>
        <v>0</v>
      </c>
      <c r="C71">
        <f t="shared" ref="C71:M71" si="14">C37</f>
        <v>0</v>
      </c>
      <c r="D71">
        <f t="shared" si="14"/>
        <v>0</v>
      </c>
      <c r="E71">
        <f t="shared" si="14"/>
        <v>0</v>
      </c>
      <c r="F71">
        <f t="shared" si="14"/>
        <v>0</v>
      </c>
      <c r="G71">
        <f t="shared" si="14"/>
        <v>0</v>
      </c>
      <c r="H71">
        <f t="shared" si="14"/>
        <v>0</v>
      </c>
      <c r="I71">
        <f t="shared" si="14"/>
        <v>0</v>
      </c>
      <c r="J71">
        <f t="shared" si="14"/>
        <v>0</v>
      </c>
      <c r="K71">
        <f t="shared" si="14"/>
        <v>0</v>
      </c>
      <c r="L71">
        <f t="shared" si="14"/>
        <v>0</v>
      </c>
      <c r="M71">
        <f t="shared" si="14"/>
        <v>0</v>
      </c>
      <c r="N71" s="25">
        <f>SUM(B71:M71)</f>
        <v>0</v>
      </c>
    </row>
    <row r="72" spans="1:14" x14ac:dyDescent="0.2">
      <c r="A72" s="15" t="s">
        <v>101</v>
      </c>
      <c r="B72" s="22">
        <f>B70+B71</f>
        <v>0</v>
      </c>
      <c r="C72">
        <f t="shared" ref="C72:M72" si="15">C70+C71</f>
        <v>0</v>
      </c>
      <c r="D72">
        <f t="shared" si="15"/>
        <v>0</v>
      </c>
      <c r="E72">
        <f t="shared" si="15"/>
        <v>0</v>
      </c>
      <c r="F72">
        <f t="shared" si="15"/>
        <v>0</v>
      </c>
      <c r="G72">
        <f t="shared" si="15"/>
        <v>0</v>
      </c>
      <c r="H72">
        <f t="shared" si="15"/>
        <v>0</v>
      </c>
      <c r="I72">
        <f t="shared" si="15"/>
        <v>0</v>
      </c>
      <c r="J72">
        <f t="shared" si="15"/>
        <v>0</v>
      </c>
      <c r="K72">
        <f t="shared" si="15"/>
        <v>0</v>
      </c>
      <c r="L72">
        <f t="shared" si="15"/>
        <v>0</v>
      </c>
      <c r="M72">
        <f t="shared" si="15"/>
        <v>0</v>
      </c>
      <c r="N72" s="25">
        <f>SUM(B72:M72)</f>
        <v>0</v>
      </c>
    </row>
    <row r="73" spans="1:14" x14ac:dyDescent="0.2">
      <c r="A73" s="14" t="s">
        <v>102</v>
      </c>
      <c r="B73" s="17">
        <f>B67+B72</f>
        <v>0</v>
      </c>
      <c r="C73" s="3">
        <f t="shared" ref="C73:M73" si="16">C67+C72</f>
        <v>0</v>
      </c>
      <c r="D73" s="3">
        <f t="shared" si="16"/>
        <v>0</v>
      </c>
      <c r="E73" s="3">
        <f t="shared" si="16"/>
        <v>0</v>
      </c>
      <c r="F73" s="3">
        <f t="shared" si="16"/>
        <v>0</v>
      </c>
      <c r="G73" s="3">
        <f t="shared" si="16"/>
        <v>0</v>
      </c>
      <c r="H73" s="3">
        <f t="shared" si="16"/>
        <v>0</v>
      </c>
      <c r="I73" s="3">
        <f t="shared" si="16"/>
        <v>0</v>
      </c>
      <c r="J73" s="3">
        <f t="shared" si="16"/>
        <v>0</v>
      </c>
      <c r="K73" s="3">
        <f t="shared" si="16"/>
        <v>0</v>
      </c>
      <c r="L73" s="3">
        <f t="shared" si="16"/>
        <v>0</v>
      </c>
      <c r="M73" s="3">
        <f t="shared" si="16"/>
        <v>0</v>
      </c>
      <c r="N73" s="26">
        <f>SUM(B73:M73)</f>
        <v>0</v>
      </c>
    </row>
    <row r="74" spans="1:14" x14ac:dyDescent="0.2">
      <c r="A74" s="12"/>
      <c r="B74" s="19"/>
      <c r="N74" s="25"/>
    </row>
    <row r="75" spans="1:14" x14ac:dyDescent="0.2">
      <c r="A75" s="15" t="s">
        <v>103</v>
      </c>
      <c r="B75" s="19"/>
      <c r="N75" s="25"/>
    </row>
    <row r="76" spans="1:14" x14ac:dyDescent="0.2">
      <c r="A76" s="14" t="s">
        <v>106</v>
      </c>
      <c r="B76" s="21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26"/>
    </row>
    <row r="77" spans="1:14" x14ac:dyDescent="0.2">
      <c r="A77" s="12" t="s">
        <v>104</v>
      </c>
      <c r="B77" s="19" t="e">
        <f>Transactions!B7/Transactions!B46</f>
        <v>#DIV/0!</v>
      </c>
      <c r="C77" t="e">
        <f>Transactions!C7/Transactions!C46</f>
        <v>#DIV/0!</v>
      </c>
      <c r="D77" t="e">
        <f>Transactions!D7/Transactions!D46</f>
        <v>#DIV/0!</v>
      </c>
      <c r="E77" t="e">
        <f>Transactions!E7/Transactions!E46</f>
        <v>#DIV/0!</v>
      </c>
      <c r="F77" t="e">
        <f>Transactions!F7/Transactions!F46</f>
        <v>#DIV/0!</v>
      </c>
      <c r="G77" t="e">
        <f>Transactions!G7/Transactions!G46</f>
        <v>#DIV/0!</v>
      </c>
      <c r="H77" t="e">
        <f>Transactions!H7/Transactions!H46</f>
        <v>#DIV/0!</v>
      </c>
      <c r="I77" t="e">
        <f>Transactions!I7/Transactions!I46</f>
        <v>#DIV/0!</v>
      </c>
      <c r="J77" t="e">
        <f>Transactions!J7/Transactions!J46</f>
        <v>#DIV/0!</v>
      </c>
      <c r="K77" t="e">
        <f>Transactions!K7/Transactions!K46</f>
        <v>#DIV/0!</v>
      </c>
      <c r="L77" t="e">
        <f>Transactions!L7/Transactions!L46</f>
        <v>#DIV/0!</v>
      </c>
      <c r="M77" t="e">
        <f>Transactions!M7/Transactions!M46</f>
        <v>#DIV/0!</v>
      </c>
      <c r="N77" s="25" t="e">
        <f>Transactions!N7/Transactions!N46</f>
        <v>#DIV/0!</v>
      </c>
    </row>
    <row r="78" spans="1:14" x14ac:dyDescent="0.2">
      <c r="A78" s="12" t="s">
        <v>105</v>
      </c>
      <c r="B78" s="19" t="e">
        <f>Transactions!B43*365/Transactions!B7</f>
        <v>#DIV/0!</v>
      </c>
      <c r="C78" t="e">
        <f>Transactions!C43/Transactions!C7</f>
        <v>#DIV/0!</v>
      </c>
      <c r="D78" t="e">
        <f>Transactions!D43/Transactions!D7</f>
        <v>#DIV/0!</v>
      </c>
      <c r="E78" t="e">
        <f>Transactions!E43/Transactions!E7</f>
        <v>#DIV/0!</v>
      </c>
      <c r="F78" t="e">
        <f>Transactions!F43/Transactions!F7</f>
        <v>#DIV/0!</v>
      </c>
      <c r="G78" t="e">
        <f>Transactions!G43/Transactions!G7</f>
        <v>#DIV/0!</v>
      </c>
      <c r="H78" t="e">
        <f>Transactions!H43/Transactions!H7</f>
        <v>#DIV/0!</v>
      </c>
      <c r="I78" t="e">
        <f>Transactions!I43/Transactions!I7</f>
        <v>#DIV/0!</v>
      </c>
      <c r="J78" t="e">
        <f>Transactions!J43/Transactions!J7</f>
        <v>#DIV/0!</v>
      </c>
      <c r="K78" t="e">
        <f>Transactions!K43/Transactions!K7</f>
        <v>#DIV/0!</v>
      </c>
      <c r="L78" t="e">
        <f>Transactions!L43/Transactions!L7</f>
        <v>#DIV/0!</v>
      </c>
      <c r="M78" t="e">
        <f>Transactions!M43/Transactions!M7</f>
        <v>#DIV/0!</v>
      </c>
      <c r="N78" s="25" t="e">
        <f>Transactions!N43/Transactions!N7</f>
        <v>#DIV/0!</v>
      </c>
    </row>
    <row r="79" spans="1:14" x14ac:dyDescent="0.2">
      <c r="A79" s="12"/>
      <c r="B79" s="19"/>
      <c r="N79" s="25"/>
    </row>
    <row r="80" spans="1:14" x14ac:dyDescent="0.2">
      <c r="A80" s="14" t="s">
        <v>109</v>
      </c>
      <c r="B80" s="21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26"/>
    </row>
    <row r="81" spans="1:14" x14ac:dyDescent="0.2">
      <c r="A81" s="11" t="s">
        <v>107</v>
      </c>
      <c r="B81" s="18" t="e">
        <f>B44/B60</f>
        <v>#DIV/0!</v>
      </c>
      <c r="C81" s="5" t="e">
        <f>'FInancial Statements'!C44/'FInancial Statements'!C60</f>
        <v>#DIV/0!</v>
      </c>
      <c r="D81" s="5" t="e">
        <f>'FInancial Statements'!D44/'FInancial Statements'!D60</f>
        <v>#DIV/0!</v>
      </c>
      <c r="E81" s="5" t="e">
        <f>'FInancial Statements'!E44/'FInancial Statements'!E60</f>
        <v>#DIV/0!</v>
      </c>
      <c r="F81" s="5" t="e">
        <f>'FInancial Statements'!F44/'FInancial Statements'!F60</f>
        <v>#DIV/0!</v>
      </c>
      <c r="G81" s="5" t="e">
        <f>'FInancial Statements'!G44/'FInancial Statements'!G60</f>
        <v>#DIV/0!</v>
      </c>
      <c r="H81" s="5" t="e">
        <f>'FInancial Statements'!H44/'FInancial Statements'!H60</f>
        <v>#DIV/0!</v>
      </c>
      <c r="I81" s="5" t="e">
        <f>'FInancial Statements'!I44/'FInancial Statements'!I60</f>
        <v>#DIV/0!</v>
      </c>
      <c r="J81" s="5" t="e">
        <f>'FInancial Statements'!J44/'FInancial Statements'!J60</f>
        <v>#DIV/0!</v>
      </c>
      <c r="K81" s="5" t="e">
        <f>'FInancial Statements'!K44/'FInancial Statements'!K60</f>
        <v>#DIV/0!</v>
      </c>
      <c r="L81" s="5" t="e">
        <f>'FInancial Statements'!L44/'FInancial Statements'!L60</f>
        <v>#DIV/0!</v>
      </c>
      <c r="M81" s="5" t="e">
        <f>'FInancial Statements'!M44/'FInancial Statements'!M60</f>
        <v>#DIV/0!</v>
      </c>
      <c r="N81" s="24" t="e">
        <f>'FInancial Statements'!N44/'FInancial Statements'!N60</f>
        <v>#DIV/0!</v>
      </c>
    </row>
    <row r="82" spans="1:14" x14ac:dyDescent="0.2">
      <c r="A82" s="12" t="s">
        <v>108</v>
      </c>
      <c r="B82" s="19" t="e">
        <f>(B44-B43)/B60</f>
        <v>#DIV/0!</v>
      </c>
      <c r="C82" t="e">
        <f t="shared" ref="C82:N82" si="17">(C44-C43)/C60</f>
        <v>#DIV/0!</v>
      </c>
      <c r="D82" t="e">
        <f t="shared" si="17"/>
        <v>#DIV/0!</v>
      </c>
      <c r="E82" t="e">
        <f t="shared" si="17"/>
        <v>#DIV/0!</v>
      </c>
      <c r="F82" t="e">
        <f t="shared" si="17"/>
        <v>#DIV/0!</v>
      </c>
      <c r="G82" t="e">
        <f t="shared" si="17"/>
        <v>#DIV/0!</v>
      </c>
      <c r="H82" t="e">
        <f t="shared" si="17"/>
        <v>#DIV/0!</v>
      </c>
      <c r="I82" t="e">
        <f t="shared" si="17"/>
        <v>#DIV/0!</v>
      </c>
      <c r="J82" t="e">
        <f t="shared" si="17"/>
        <v>#DIV/0!</v>
      </c>
      <c r="K82" t="e">
        <f t="shared" si="17"/>
        <v>#DIV/0!</v>
      </c>
      <c r="L82" t="e">
        <f t="shared" si="17"/>
        <v>#DIV/0!</v>
      </c>
      <c r="M82" t="e">
        <f t="shared" si="17"/>
        <v>#DIV/0!</v>
      </c>
      <c r="N82" s="25" t="e">
        <f t="shared" si="17"/>
        <v>#DIV/0!</v>
      </c>
    </row>
    <row r="83" spans="1:14" x14ac:dyDescent="0.2">
      <c r="A83" s="12"/>
      <c r="B83" s="19"/>
      <c r="N83" s="25"/>
    </row>
    <row r="84" spans="1:14" x14ac:dyDescent="0.2">
      <c r="A84" s="14" t="s">
        <v>112</v>
      </c>
      <c r="B84" s="21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26"/>
    </row>
    <row r="85" spans="1:14" x14ac:dyDescent="0.2">
      <c r="A85" s="11" t="s">
        <v>110</v>
      </c>
      <c r="B85" s="30" t="e">
        <f>B67/B52</f>
        <v>#DIV/0!</v>
      </c>
      <c r="C85" s="5" t="e">
        <f t="shared" ref="C85:N85" si="18">C67/C52</f>
        <v>#DIV/0!</v>
      </c>
      <c r="D85" s="5" t="e">
        <f t="shared" si="18"/>
        <v>#DIV/0!</v>
      </c>
      <c r="E85" s="5" t="e">
        <f t="shared" si="18"/>
        <v>#DIV/0!</v>
      </c>
      <c r="F85" s="5" t="e">
        <f t="shared" si="18"/>
        <v>#DIV/0!</v>
      </c>
      <c r="G85" s="5" t="e">
        <f t="shared" si="18"/>
        <v>#DIV/0!</v>
      </c>
      <c r="H85" s="5" t="e">
        <f t="shared" si="18"/>
        <v>#DIV/0!</v>
      </c>
      <c r="I85" s="5" t="e">
        <f t="shared" si="18"/>
        <v>#DIV/0!</v>
      </c>
      <c r="J85" s="5" t="e">
        <f t="shared" si="18"/>
        <v>#DIV/0!</v>
      </c>
      <c r="K85" s="5" t="e">
        <f t="shared" si="18"/>
        <v>#DIV/0!</v>
      </c>
      <c r="L85" s="5" t="e">
        <f t="shared" si="18"/>
        <v>#DIV/0!</v>
      </c>
      <c r="M85" s="5" t="e">
        <f t="shared" si="18"/>
        <v>#DIV/0!</v>
      </c>
      <c r="N85" s="24" t="e">
        <f t="shared" si="18"/>
        <v>#DIV/0!</v>
      </c>
    </row>
    <row r="86" spans="1:14" x14ac:dyDescent="0.2">
      <c r="A86" s="12" t="s">
        <v>111</v>
      </c>
      <c r="B86" s="19" t="e">
        <f>B67/B72</f>
        <v>#DIV/0!</v>
      </c>
      <c r="C86" t="e">
        <f t="shared" ref="C86:N86" si="19">C67/C72</f>
        <v>#DIV/0!</v>
      </c>
      <c r="D86" t="e">
        <f t="shared" si="19"/>
        <v>#DIV/0!</v>
      </c>
      <c r="E86" t="e">
        <f t="shared" si="19"/>
        <v>#DIV/0!</v>
      </c>
      <c r="F86" t="e">
        <f t="shared" si="19"/>
        <v>#DIV/0!</v>
      </c>
      <c r="G86" t="e">
        <f t="shared" si="19"/>
        <v>#DIV/0!</v>
      </c>
      <c r="H86" t="e">
        <f t="shared" si="19"/>
        <v>#DIV/0!</v>
      </c>
      <c r="I86" t="e">
        <f t="shared" si="19"/>
        <v>#DIV/0!</v>
      </c>
      <c r="J86" t="e">
        <f t="shared" si="19"/>
        <v>#DIV/0!</v>
      </c>
      <c r="K86" t="e">
        <f t="shared" si="19"/>
        <v>#DIV/0!</v>
      </c>
      <c r="L86" t="e">
        <f t="shared" si="19"/>
        <v>#DIV/0!</v>
      </c>
      <c r="M86" t="e">
        <f t="shared" si="19"/>
        <v>#DIV/0!</v>
      </c>
      <c r="N86" s="25" t="e">
        <f t="shared" si="19"/>
        <v>#DIV/0!</v>
      </c>
    </row>
    <row r="87" spans="1:14" x14ac:dyDescent="0.2">
      <c r="A87" s="12"/>
      <c r="B87" s="19"/>
      <c r="N87" s="25"/>
    </row>
    <row r="88" spans="1:14" x14ac:dyDescent="0.2">
      <c r="A88" s="14" t="s">
        <v>115</v>
      </c>
      <c r="B88" s="21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26"/>
    </row>
    <row r="89" spans="1:14" x14ac:dyDescent="0.2">
      <c r="A89" s="11" t="s">
        <v>113</v>
      </c>
      <c r="B89" s="18" t="e">
        <f>B71/B52*100</f>
        <v>#DIV/0!</v>
      </c>
      <c r="C89" s="5" t="e">
        <f t="shared" ref="C89:N89" si="20">C37/C51*100</f>
        <v>#DIV/0!</v>
      </c>
      <c r="D89" s="5" t="e">
        <f t="shared" si="20"/>
        <v>#DIV/0!</v>
      </c>
      <c r="E89" s="5" t="e">
        <f t="shared" si="20"/>
        <v>#DIV/0!</v>
      </c>
      <c r="F89" s="5" t="e">
        <f t="shared" si="20"/>
        <v>#DIV/0!</v>
      </c>
      <c r="G89" s="5" t="e">
        <f t="shared" si="20"/>
        <v>#DIV/0!</v>
      </c>
      <c r="H89" s="5" t="e">
        <f t="shared" si="20"/>
        <v>#DIV/0!</v>
      </c>
      <c r="I89" s="5" t="e">
        <f t="shared" si="20"/>
        <v>#DIV/0!</v>
      </c>
      <c r="J89" s="5" t="e">
        <f t="shared" si="20"/>
        <v>#DIV/0!</v>
      </c>
      <c r="K89" s="5" t="e">
        <f t="shared" si="20"/>
        <v>#DIV/0!</v>
      </c>
      <c r="L89" s="5" t="e">
        <f t="shared" si="20"/>
        <v>#DIV/0!</v>
      </c>
      <c r="M89" s="5" t="e">
        <f t="shared" si="20"/>
        <v>#DIV/0!</v>
      </c>
      <c r="N89" s="24" t="e">
        <f t="shared" si="20"/>
        <v>#DIV/0!</v>
      </c>
    </row>
    <row r="90" spans="1:14" x14ac:dyDescent="0.2">
      <c r="A90" s="12" t="s">
        <v>114</v>
      </c>
      <c r="B90" s="19" t="e">
        <f>B37/B70*100</f>
        <v>#DIV/0!</v>
      </c>
      <c r="C90" t="e">
        <f t="shared" ref="C90:N90" si="21">C37/C70*100</f>
        <v>#DIV/0!</v>
      </c>
      <c r="D90" t="e">
        <f t="shared" si="21"/>
        <v>#DIV/0!</v>
      </c>
      <c r="E90" t="e">
        <f t="shared" si="21"/>
        <v>#DIV/0!</v>
      </c>
      <c r="F90" t="e">
        <f t="shared" si="21"/>
        <v>#DIV/0!</v>
      </c>
      <c r="G90" t="e">
        <f t="shared" si="21"/>
        <v>#DIV/0!</v>
      </c>
      <c r="H90" t="e">
        <f t="shared" si="21"/>
        <v>#DIV/0!</v>
      </c>
      <c r="I90" t="e">
        <f t="shared" si="21"/>
        <v>#DIV/0!</v>
      </c>
      <c r="J90" t="e">
        <f t="shared" si="21"/>
        <v>#DIV/0!</v>
      </c>
      <c r="K90" t="e">
        <f t="shared" si="21"/>
        <v>#DIV/0!</v>
      </c>
      <c r="L90" t="e">
        <f t="shared" si="21"/>
        <v>#DIV/0!</v>
      </c>
      <c r="M90" t="e">
        <f t="shared" si="21"/>
        <v>#DIV/0!</v>
      </c>
      <c r="N90" s="25" t="e">
        <f t="shared" si="21"/>
        <v>#DIV/0!</v>
      </c>
    </row>
    <row r="91" spans="1:14" x14ac:dyDescent="0.2">
      <c r="A91" s="12"/>
      <c r="B91" s="19"/>
      <c r="N91" s="25"/>
    </row>
    <row r="92" spans="1:14" x14ac:dyDescent="0.2">
      <c r="A92" s="14" t="s">
        <v>118</v>
      </c>
      <c r="B92" s="21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26"/>
    </row>
    <row r="93" spans="1:14" x14ac:dyDescent="0.2">
      <c r="A93" s="11" t="s">
        <v>116</v>
      </c>
      <c r="B93" s="18">
        <f>B44-B60</f>
        <v>0</v>
      </c>
      <c r="C93" s="5">
        <f t="shared" ref="C93:M93" si="22">C44-C60</f>
        <v>0</v>
      </c>
      <c r="D93" s="5">
        <f t="shared" si="22"/>
        <v>0</v>
      </c>
      <c r="E93" s="5">
        <f t="shared" si="22"/>
        <v>0</v>
      </c>
      <c r="F93" s="5">
        <f t="shared" si="22"/>
        <v>0</v>
      </c>
      <c r="G93" s="5">
        <f t="shared" si="22"/>
        <v>0</v>
      </c>
      <c r="H93" s="5">
        <f t="shared" si="22"/>
        <v>0</v>
      </c>
      <c r="I93" s="5">
        <f t="shared" si="22"/>
        <v>0</v>
      </c>
      <c r="J93" s="5">
        <f t="shared" si="22"/>
        <v>0</v>
      </c>
      <c r="K93" s="5">
        <f t="shared" si="22"/>
        <v>0</v>
      </c>
      <c r="L93" s="5">
        <f t="shared" si="22"/>
        <v>0</v>
      </c>
      <c r="M93" s="5">
        <f t="shared" si="22"/>
        <v>0</v>
      </c>
      <c r="N93" s="24">
        <f>SUM(B93:M93)</f>
        <v>0</v>
      </c>
    </row>
    <row r="94" spans="1:14" x14ac:dyDescent="0.2">
      <c r="A94" s="13" t="s">
        <v>117</v>
      </c>
      <c r="B94" s="21" t="e">
        <f>B37/B28*100</f>
        <v>#DIV/0!</v>
      </c>
      <c r="C94" s="8" t="e">
        <f t="shared" ref="C94:N94" si="23">C37/C28*100</f>
        <v>#DIV/0!</v>
      </c>
      <c r="D94" s="8" t="e">
        <f t="shared" si="23"/>
        <v>#DIV/0!</v>
      </c>
      <c r="E94" s="8" t="e">
        <f t="shared" si="23"/>
        <v>#DIV/0!</v>
      </c>
      <c r="F94" s="8" t="e">
        <f t="shared" si="23"/>
        <v>#DIV/0!</v>
      </c>
      <c r="G94" s="8" t="e">
        <f t="shared" si="23"/>
        <v>#DIV/0!</v>
      </c>
      <c r="H94" s="8" t="e">
        <f t="shared" si="23"/>
        <v>#DIV/0!</v>
      </c>
      <c r="I94" s="8" t="e">
        <f t="shared" si="23"/>
        <v>#DIV/0!</v>
      </c>
      <c r="J94" s="8" t="e">
        <f t="shared" si="23"/>
        <v>#DIV/0!</v>
      </c>
      <c r="K94" s="8" t="e">
        <f t="shared" si="23"/>
        <v>#DIV/0!</v>
      </c>
      <c r="L94" s="8" t="e">
        <f t="shared" si="23"/>
        <v>#DIV/0!</v>
      </c>
      <c r="M94" s="8" t="e">
        <f t="shared" si="23"/>
        <v>#DIV/0!</v>
      </c>
      <c r="N94" s="26" t="e">
        <f t="shared" si="23"/>
        <v>#DIV/0!</v>
      </c>
    </row>
  </sheetData>
  <mergeCells count="3">
    <mergeCell ref="B2:M2"/>
    <mergeCell ref="A2:A3"/>
    <mergeCell ref="N2:N3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Transactions</vt:lpstr>
      <vt:lpstr>FInancial Statements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BAZEKUKETTA</dc:creator>
  <cp:lastModifiedBy>Nelson Pérez</cp:lastModifiedBy>
  <dcterms:created xsi:type="dcterms:W3CDTF">2024-06-29T03:15:47Z</dcterms:created>
  <dcterms:modified xsi:type="dcterms:W3CDTF">2024-07-12T00:36:49Z</dcterms:modified>
</cp:coreProperties>
</file>